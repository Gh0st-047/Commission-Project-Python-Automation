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E:\Shared drives\LightHouse Total Wellness\02. Business Operations\Active Operations\Commissions Breakdown\Harrry Friedman\Commissions_2025_12\"/>
    </mc:Choice>
  </mc:AlternateContent>
  <xr:revisionPtr revIDLastSave="0" documentId="13_ncr:1_{4CE079A8-0D91-4FFC-AFCA-C7E176118F49}" xr6:coauthVersionLast="47" xr6:coauthVersionMax="47" xr10:uidLastSave="{00000000-0000-0000-0000-000000000000}"/>
  <bookViews>
    <workbookView xWindow="-120" yWindow="-120" windowWidth="29040" windowHeight="15840" xr2:uid="{4FA856FB-A981-4240-BF0B-DC24CFC7FB80}"/>
  </bookViews>
  <sheets>
    <sheet name="Commissions" sheetId="1" r:id="rId1"/>
    <sheet name="Unpaid" sheetId="2" r:id="rId2"/>
    <sheet name="W1" sheetId="4" r:id="rId3"/>
    <sheet name="W2" sheetId="5" r:id="rId4"/>
    <sheet name="W3" sheetId="3" r:id="rId5"/>
    <sheet name="W4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D8" i="1" l="1"/>
  <c r="AB8" i="1"/>
  <c r="AC8" i="1"/>
  <c r="AC7" i="1"/>
  <c r="AB7" i="1"/>
  <c r="AC6" i="1"/>
  <c r="AB6" i="1"/>
  <c r="AA7" i="1" a="1"/>
  <c r="AA7" i="1" s="1"/>
  <c r="AA6" i="1" a="1"/>
  <c r="AA6" i="1" s="1"/>
  <c r="AB3" i="1" l="1"/>
  <c r="AC3" i="1"/>
  <c r="AA3" i="1"/>
  <c r="X7" i="1"/>
  <c r="W7" i="1"/>
  <c r="V7" i="1"/>
  <c r="R7" i="1"/>
  <c r="Q7" i="1"/>
  <c r="P7" i="1"/>
  <c r="L7" i="1"/>
  <c r="K7" i="1"/>
  <c r="J7" i="1"/>
  <c r="E7" i="1"/>
  <c r="F7" i="1"/>
  <c r="D7" i="1"/>
  <c r="T2" i="2"/>
  <c r="U2" i="2" s="1" a="1"/>
  <c r="U2" i="2" s="1"/>
  <c r="O2" i="2" a="1"/>
  <c r="O2" i="2" s="1"/>
  <c r="N2" i="2"/>
  <c r="I2" i="2" a="1"/>
  <c r="I2" i="2" s="1"/>
  <c r="H2" i="2"/>
  <c r="B2" i="2"/>
  <c r="C2" i="2" s="1" a="1"/>
  <c r="C2" i="2" s="1"/>
  <c r="B3" i="1"/>
  <c r="C3" i="1" s="1" a="1"/>
  <c r="C3" i="1" s="1"/>
  <c r="H3" i="1"/>
  <c r="I3" i="1" s="1" a="1"/>
  <c r="I3" i="1" s="1"/>
  <c r="N3" i="1"/>
  <c r="O3" i="1" a="1"/>
  <c r="O3" i="1" s="1"/>
  <c r="T3" i="1"/>
  <c r="U3" i="1" s="1" a="1"/>
  <c r="U3" i="1" s="1"/>
  <c r="B4" i="1"/>
  <c r="C4" i="1" s="1" a="1"/>
  <c r="C4" i="1" s="1"/>
  <c r="H4" i="1"/>
  <c r="I4" i="1" s="1" a="1"/>
  <c r="I4" i="1" s="1"/>
  <c r="N4" i="1"/>
  <c r="O4" i="1" s="1" a="1"/>
  <c r="O4" i="1" s="1"/>
  <c r="T4" i="1"/>
  <c r="U4" i="1" s="1" a="1"/>
  <c r="U4" i="1" s="1"/>
  <c r="B5" i="1"/>
  <c r="C5" i="1" s="1" a="1"/>
  <c r="C5" i="1" s="1"/>
  <c r="H5" i="1"/>
  <c r="I5" i="1" s="1" a="1"/>
  <c r="I5" i="1" s="1"/>
  <c r="N5" i="1"/>
  <c r="O5" i="1" s="1" a="1"/>
  <c r="O5" i="1" s="1"/>
  <c r="T5" i="1"/>
  <c r="U5" i="1" s="1" a="1"/>
  <c r="U5" i="1" s="1"/>
  <c r="B6" i="1"/>
  <c r="C6" i="1" s="1" a="1"/>
  <c r="C6" i="1" s="1"/>
  <c r="H6" i="1"/>
  <c r="I6" i="1" s="1" a="1"/>
  <c r="I6" i="1" s="1"/>
  <c r="N6" i="1"/>
  <c r="O6" i="1" s="1" a="1"/>
  <c r="O6" i="1" s="1"/>
  <c r="T6" i="1"/>
  <c r="U6" i="1" s="1" a="1"/>
  <c r="U6" i="1" s="1"/>
  <c r="B2" i="1"/>
  <c r="T2" i="1"/>
  <c r="H2" i="1"/>
  <c r="N2" i="1"/>
  <c r="K2" i="2" l="1" a="1"/>
  <c r="K2" i="2" s="1"/>
  <c r="L2" i="2" a="1"/>
  <c r="L2" i="2" s="1"/>
  <c r="J2" i="2" a="1"/>
  <c r="J2" i="2" s="1"/>
  <c r="R2" i="2" a="1"/>
  <c r="R2" i="2" s="1"/>
  <c r="P2" i="2" a="1"/>
  <c r="P2" i="2" s="1"/>
  <c r="Q2" i="2" a="1"/>
  <c r="Q2" i="2" s="1"/>
  <c r="E2" i="2" a="1"/>
  <c r="E2" i="2" s="1"/>
  <c r="F2" i="2" a="1"/>
  <c r="F2" i="2" s="1"/>
  <c r="D2" i="2" a="1"/>
  <c r="D2" i="2" s="1"/>
  <c r="X2" i="2" a="1"/>
  <c r="X2" i="2" s="1"/>
  <c r="V2" i="2" a="1"/>
  <c r="V2" i="2" s="1"/>
  <c r="W2" i="2" a="1"/>
  <c r="W2" i="2" s="1"/>
  <c r="P5" i="1" a="1"/>
  <c r="P5" i="1" s="1"/>
  <c r="R5" i="1" a="1"/>
  <c r="R5" i="1" s="1"/>
  <c r="Q5" i="1" a="1"/>
  <c r="Q5" i="1" s="1"/>
  <c r="J3" i="1" a="1"/>
  <c r="J3" i="1" s="1"/>
  <c r="L3" i="1" a="1"/>
  <c r="L3" i="1" s="1"/>
  <c r="K3" i="1" a="1"/>
  <c r="K3" i="1" s="1"/>
  <c r="W6" i="1" a="1"/>
  <c r="W6" i="1" s="1"/>
  <c r="V6" i="1" a="1"/>
  <c r="V6" i="1" s="1"/>
  <c r="X6" i="1" a="1"/>
  <c r="X6" i="1" s="1"/>
  <c r="E6" i="1" a="1"/>
  <c r="E6" i="1" s="1"/>
  <c r="D6" i="1" a="1"/>
  <c r="D6" i="1" s="1"/>
  <c r="F6" i="1" a="1"/>
  <c r="F6" i="1" s="1"/>
  <c r="J5" i="1" a="1"/>
  <c r="J5" i="1" s="1"/>
  <c r="L5" i="1" a="1"/>
  <c r="L5" i="1" s="1"/>
  <c r="K5" i="1" a="1"/>
  <c r="K5" i="1" s="1"/>
  <c r="Q3" i="1" a="1"/>
  <c r="Q3" i="1" s="1"/>
  <c r="P3" i="1" a="1"/>
  <c r="P3" i="1" s="1"/>
  <c r="R3" i="1" a="1"/>
  <c r="R3" i="1" s="1"/>
  <c r="Q6" i="1" a="1"/>
  <c r="Q6" i="1" s="1"/>
  <c r="P6" i="1" a="1"/>
  <c r="P6" i="1" s="1"/>
  <c r="R6" i="1" a="1"/>
  <c r="R6" i="1" s="1"/>
  <c r="W5" i="1" a="1"/>
  <c r="W5" i="1" s="1"/>
  <c r="V5" i="1" a="1"/>
  <c r="V5" i="1" s="1"/>
  <c r="X5" i="1" a="1"/>
  <c r="X5" i="1" s="1"/>
  <c r="E5" i="1" a="1"/>
  <c r="E5" i="1" s="1"/>
  <c r="D5" i="1" a="1"/>
  <c r="D5" i="1" s="1"/>
  <c r="F5" i="1" a="1"/>
  <c r="F5" i="1" s="1"/>
  <c r="J4" i="1" a="1"/>
  <c r="J4" i="1" s="1"/>
  <c r="L4" i="1" a="1"/>
  <c r="L4" i="1" s="1"/>
  <c r="K4" i="1" a="1"/>
  <c r="K4" i="1" s="1"/>
  <c r="D4" i="1" a="1"/>
  <c r="D4" i="1" s="1"/>
  <c r="F4" i="1" a="1"/>
  <c r="F4" i="1" s="1"/>
  <c r="E4" i="1" a="1"/>
  <c r="E4" i="1" s="1"/>
  <c r="W4" i="1" a="1"/>
  <c r="W4" i="1" s="1"/>
  <c r="V4" i="1" a="1"/>
  <c r="V4" i="1" s="1"/>
  <c r="X4" i="1" a="1"/>
  <c r="X4" i="1" s="1"/>
  <c r="J6" i="1" a="1"/>
  <c r="J6" i="1" s="1"/>
  <c r="L6" i="1" a="1"/>
  <c r="L6" i="1" s="1"/>
  <c r="K6" i="1" a="1"/>
  <c r="K6" i="1" s="1"/>
  <c r="P4" i="1" a="1"/>
  <c r="P4" i="1" s="1"/>
  <c r="R4" i="1" a="1"/>
  <c r="R4" i="1" s="1"/>
  <c r="Q4" i="1" a="1"/>
  <c r="Q4" i="1" s="1"/>
  <c r="W3" i="1" a="1"/>
  <c r="W3" i="1" s="1"/>
  <c r="V3" i="1" a="1"/>
  <c r="V3" i="1" s="1"/>
  <c r="X3" i="1" a="1"/>
  <c r="X3" i="1" s="1"/>
  <c r="F3" i="1" a="1"/>
  <c r="F3" i="1" s="1"/>
  <c r="E3" i="1" a="1"/>
  <c r="E3" i="1" s="1"/>
  <c r="D3" i="1" a="1"/>
  <c r="D3" i="1" s="1"/>
  <c r="U2" i="1" a="1"/>
  <c r="U2" i="1" s="1"/>
  <c r="O2" i="1" a="1"/>
  <c r="O2" i="1" s="1"/>
  <c r="I2" i="1" a="1"/>
  <c r="I2" i="1" s="1"/>
  <c r="C2" i="1" a="1"/>
  <c r="C2" i="1" s="1"/>
  <c r="F2" i="1" l="1" a="1"/>
  <c r="F2" i="1" s="1"/>
  <c r="E2" i="1" a="1"/>
  <c r="E2" i="1" s="1"/>
  <c r="D2" i="1" a="1"/>
  <c r="D2" i="1" s="1"/>
  <c r="L2" i="1" a="1"/>
  <c r="L2" i="1" s="1"/>
  <c r="K2" i="1" a="1"/>
  <c r="K2" i="1" s="1"/>
  <c r="J2" i="1" a="1"/>
  <c r="J2" i="1" s="1"/>
  <c r="W2" i="1" a="1"/>
  <c r="W2" i="1" s="1"/>
  <c r="X2" i="1" a="1"/>
  <c r="X2" i="1" s="1"/>
  <c r="V2" i="1" a="1"/>
  <c r="V2" i="1" s="1"/>
  <c r="P2" i="1" a="1"/>
  <c r="P2" i="1" s="1"/>
  <c r="Q2" i="1" a="1"/>
  <c r="Q2" i="1" s="1"/>
  <c r="R2" i="1" a="1"/>
  <c r="R2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<sst xmlns="http://schemas.openxmlformats.org/spreadsheetml/2006/main" count="69" uniqueCount="23">
  <si>
    <t>Number</t>
  </si>
  <si>
    <t>PPC125</t>
  </si>
  <si>
    <t>Charles</t>
  </si>
  <si>
    <t xml:space="preserve">Harry </t>
  </si>
  <si>
    <t>LightHouse</t>
  </si>
  <si>
    <t>Totals</t>
  </si>
  <si>
    <t>Tax ID (SSN)</t>
  </si>
  <si>
    <t>125 - PPC 125_PPC1</t>
  </si>
  <si>
    <t>116-90-8923</t>
  </si>
  <si>
    <t>109-88-8332</t>
  </si>
  <si>
    <t>879-36-0268</t>
  </si>
  <si>
    <t>095-76-8367</t>
  </si>
  <si>
    <t>080-92-8181</t>
  </si>
  <si>
    <t>692-79-1564</t>
  </si>
  <si>
    <t>[W1}</t>
  </si>
  <si>
    <t>[W2}</t>
  </si>
  <si>
    <t>[W3}</t>
  </si>
  <si>
    <t>[W4}</t>
  </si>
  <si>
    <t>Plan 1000 Total</t>
  </si>
  <si>
    <t>Other Plans Total</t>
  </si>
  <si>
    <t>Total</t>
  </si>
  <si>
    <t>Agent 1</t>
  </si>
  <si>
    <t>Agent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</si>
</sst>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\$#,###.00;\$\-#,###.00;\$0.00"/>
  </numFmts>
  <fonts count="8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9"/>
      <name val="Arial"/>
      <family val="2"/>
    </font>
    <font>
      <sz val="9"/>
      <name val="Arial"/>
      <family val="2"/>
    </font>
    <font>
      <sz val="11"/>
      <color indexed="8"/>
      <name val="Aptos Narrow"/>
      <family val="2"/>
      <scheme val="minor"/>
    </font>
    <font>
      <b/>
      <sz val="9"/>
      <name val="arial"/>
    </font>
    <font>
      <sz val="9"/>
      <name val="arial"/>
    </font>
  </fonts>
  <fills count="7">
    <fill>
      <patternFill patternType="none"/>
    </fill>
    <fill>
      <patternFill patternType="gray125"/>
    </fill>
    <fill>
      <patternFill patternType="solid">
        <fgColor theme="3" tint="0.49998474074526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44" fontId="2" fillId="0" borderId="0" applyFont="0" applyFill="0" applyBorder="0" applyAlignment="0" applyProtection="0"/>
    <xf numFmtId="0" fontId="5" fillId="0" borderId="0"/>
  </cellStyleXfs>
  <cellXfs count="22">
    <xf numFmtId="0" fontId="0" fillId="0" borderId="0" xfId="0"/>
    <xf numFmtId="0" fontId="1" fillId="0" borderId="0" xfId="0" applyFont="1" applyAlignment="1">
      <alignment horizontal="center"/>
    </xf>
    <xf numFmtId="0" fontId="1" fillId="5" borderId="0" xfId="0" applyFont="1" applyFill="1" applyAlignment="1">
      <alignment horizontal="center"/>
    </xf>
    <xf numFmtId="0" fontId="0" fillId="5" borderId="0" xfId="0" applyFill="1"/>
    <xf numFmtId="0" fontId="1" fillId="0" borderId="1" xfId="0" applyFont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44" fontId="0" fillId="0" borderId="0" xfId="1" applyFont="1"/>
    <xf numFmtId="44" fontId="1" fillId="2" borderId="1" xfId="1" applyFont="1" applyFill="1" applyBorder="1" applyAlignment="1">
      <alignment horizontal="center"/>
    </xf>
    <xf numFmtId="44" fontId="1" fillId="3" borderId="1" xfId="1" applyFont="1" applyFill="1" applyBorder="1" applyAlignment="1">
      <alignment horizontal="center"/>
    </xf>
    <xf numFmtId="44" fontId="1" fillId="4" borderId="1" xfId="1" applyFont="1" applyFill="1" applyBorder="1" applyAlignment="1">
      <alignment horizontal="center"/>
    </xf>
    <xf numFmtId="44" fontId="0" fillId="0" borderId="0" xfId="0" applyNumberFormat="1"/>
    <xf numFmtId="0" fontId="3" fillId="0" borderId="2" xfId="0" applyFont="1" applyBorder="1" applyAlignment="1">
      <alignment horizontal="left"/>
    </xf>
    <xf numFmtId="0" fontId="4" fillId="0" borderId="2" xfId="0" applyFont="1" applyBorder="1" applyAlignment="1">
      <alignment horizontal="left"/>
    </xf>
    <xf numFmtId="0" fontId="4" fillId="0" borderId="2" xfId="2" applyFont="1" applyBorder="1" applyAlignment="1">
      <alignment horizontal="left"/>
    </xf>
    <xf numFmtId="0" fontId="1" fillId="0" borderId="0" xfId="0" applyFont="1" applyAlignment="1">
      <alignment horizontal="center"/>
    </xf>
    <xf numFmtId="0" fontId="6" fillId="0" borderId="2" xfId="0" applyFont="1" applyBorder="1" applyAlignment="1">
      <alignment horizontal="left"/>
    </xf>
    <xf numFmtId="0" fontId="7" fillId="0" borderId="2" xfId="0" applyFont="1" applyBorder="1" applyAlignment="1">
      <alignment horizontal="left"/>
    </xf>
    <xf numFmtId="164" fontId="7" fillId="0" borderId="2" xfId="0" applyNumberFormat="1" applyFont="1" applyBorder="1" applyAlignment="1">
      <alignment horizontal="left"/>
    </xf>
    <xf numFmtId="0" fontId="1" fillId="6" borderId="0" xfId="0" applyFont="1" applyFill="1" applyAlignment="1">
      <alignment horizontal="center"/>
    </xf>
    <xf numFmtId="0" fontId="1" fillId="0" borderId="0" xfId="0" applyFont="1" applyAlignment="1">
      <alignment horizontal="left"/>
    </xf>
  </cellXfs>
  <cellStyles count="3">
    <cellStyle name="Currency" xfId="1" builtinId="4"/>
    <cellStyle name="Normal" xfId="0" builtinId="0"/>
    <cellStyle name="Normal 2" xfId="2" xr:uid="{80D3B4AA-043C-4800-8DD0-3DE73A265E7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1C0CD2-3229-46DC-8F34-BEA6A6826EE1}">
  <dimension ref="A1:AF8"/>
  <sheetViews>
    <sheetView tabSelected="1" topLeftCell="F1" zoomScaleNormal="100" workbookViewId="0">
      <selection activeCell="AB3" sqref="AB3:AC3"/>
    </sheetView>
  </sheetViews>
  <sheetFormatPr defaultColWidth="10.7109375" defaultRowHeight="15" x14ac:dyDescent="0.25"/>
  <cols>
    <col min="6" max="6" width="11.85546875" customWidth="1"/>
    <col min="7" max="7" width="1.5703125" style="3" customWidth="1"/>
    <col min="13" max="13" width="1.5703125" style="3" customWidth="1"/>
    <col min="19" max="19" width="1.5703125" style="3" customWidth="1"/>
    <col min="26" max="26" width="16.42578125" bestFit="1" customWidth="1"/>
  </cols>
  <sheetData>
    <row r="1" spans="1:32" s="1" customFormat="1" x14ac:dyDescent="0.25">
      <c r="A1" s="4" t="s">
        <v>0</v>
      </c>
      <c r="B1" s="4" t="s">
        <v>1</v>
      </c>
      <c r="C1" s="4" t="s">
        <v>14</v>
      </c>
      <c r="D1" s="5" t="s">
        <v>2</v>
      </c>
      <c r="E1" s="6" t="s">
        <v>3</v>
      </c>
      <c r="F1" s="7" t="s">
        <v>4</v>
      </c>
      <c r="G1" s="2"/>
      <c r="H1" s="4" t="s">
        <v>1</v>
      </c>
      <c r="I1" s="4" t="s">
        <v>15</v>
      </c>
      <c r="J1" s="5" t="s">
        <v>2</v>
      </c>
      <c r="K1" s="6" t="s">
        <v>3</v>
      </c>
      <c r="L1" s="7" t="s">
        <v>4</v>
      </c>
      <c r="M1" s="2"/>
      <c r="N1" s="4" t="s">
        <v>1</v>
      </c>
      <c r="O1" s="4" t="s">
        <v>16</v>
      </c>
      <c r="P1" s="5" t="s">
        <v>2</v>
      </c>
      <c r="Q1" s="6" t="s">
        <v>3</v>
      </c>
      <c r="R1" s="7" t="s">
        <v>4</v>
      </c>
      <c r="S1" s="2"/>
      <c r="T1" s="4" t="s">
        <v>1</v>
      </c>
      <c r="U1" s="4" t="s">
        <v>17</v>
      </c>
      <c r="V1" s="5" t="s">
        <v>2</v>
      </c>
      <c r="W1" s="6" t="s">
        <v>3</v>
      </c>
      <c r="X1" s="7" t="s">
        <v>4</v>
      </c>
      <c r="AA1" s="16" t="s">
        <v>5</v>
      </c>
      <c r="AB1" s="16"/>
      <c r="AC1" s="16"/>
    </row>
    <row r="2" spans="1:32" x14ac:dyDescent="0.25">
      <c r="A2" s="15" t="s">
        <v>8</v>
      </c>
      <c r="B2">
        <f>VLOOKUP(A2,'W1'!A:B,2,FALSE)</f>
        <v>-230.77</v>
      </c>
      <c r="C2" t="str" cm="1">
        <f t="array" ref="C2">_xlfn.IFS(
B2=-369.23,"Plan 1600",
B2=-323.08,"Plan 1400",
B2=-276.92,"Plan 1200",
B2=-230.77,"Plan 1000"
)</f>
        <v>Plan 1000</v>
      </c>
      <c r="D2" s="8" cm="1">
        <f t="array" ref="D2">_xlfn.SWITCH($C2,"Plan 1600",15*12/52,"Plan 1400",10*12/52,"Plan 1200",5*12/52,"Plan 1000",1.5*12/52,"")</f>
        <v>0.34615384615384615</v>
      </c>
      <c r="E2" s="8" cm="1">
        <f t="array" ref="E2">_xlfn.SWITCH($C2,"Plan 1600",97*12/52,"Plan 1400",78*12/52,"Plan 1200",60*12/52,"Plan 1000",25*12/52,"")</f>
        <v>5.7692307692307692</v>
      </c>
      <c r="F2" s="8" cm="1">
        <f t="array" ref="F2">_xlfn.SWITCH($C2,"Plan 1600",25*12/52,"Plan 1400",20*12/52,"Plan 1200",15*12/52,"Plan 1000",2*12/52,"")</f>
        <v>0.46153846153846156</v>
      </c>
      <c r="H2">
        <f>VLOOKUP(A2,'W2'!A:B,2,FALSE)</f>
        <v>-230.77</v>
      </c>
      <c r="I2" t="str" cm="1">
        <f t="array" ref="I2">_xlfn.IFS(
H2=-369.23,"Plan 1600",
H2=-323.08,"Plan 1400",
H2=-276.92,"Plan 1200",
H2=-230.77,"Plan 1000"
)</f>
        <v>Plan 1000</v>
      </c>
      <c r="J2" s="8" cm="1">
        <f t="array" ref="J2">_xlfn.SWITCH($I2,"Plan 1600",15*12/52,"Plan 1400",10*12/52,"Plan 1200",5*12/52,"Plan 1000",1.5*12/52,"")</f>
        <v>0.34615384615384615</v>
      </c>
      <c r="K2" s="8" cm="1">
        <f t="array" ref="K2">_xlfn.SWITCH($I2,"Plan 1600",97*12/52,"Plan 1400",78*12/52,"Plan 1200",60*12/52,"Plan 1000",25*12/52,"")</f>
        <v>5.7692307692307692</v>
      </c>
      <c r="L2" s="8" cm="1">
        <f t="array" ref="L2">_xlfn.SWITCH($I2,"Plan 1600",25*12/52,"Plan 1400",20*12/52,"Plan 1200",15*12/52,"Plan 1000",2*12/52,"")</f>
        <v>0.46153846153846156</v>
      </c>
      <c r="N2">
        <f>VLOOKUP(A2,'W3'!A:B,2,FALSE)</f>
        <v>-369.23</v>
      </c>
      <c r="O2" t="str" cm="1">
        <f t="array" ref="O2">_xlfn.IFS(
N2=-369.23,"Plan 1600",
N2=-323.08,"Plan 1400",
N2=-276.92,"Plan 1200",
N2=-230.77,"Plan 1000"
)</f>
        <v>Plan 1600</v>
      </c>
      <c r="P2" s="8" cm="1">
        <f t="array" ref="P2">_xlfn.SWITCH($O2,"Plan 1600",15*12/52,"Plan 1400",10*12/52,"Plan 1200",5*12/52,"Plan 1000",1.5*12/52,"")</f>
        <v>3.4615384615384617</v>
      </c>
      <c r="Q2" s="8" cm="1">
        <f t="array" ref="Q2">_xlfn.SWITCH($O2,"Plan 1600",97*12/52,"Plan 1400",78*12/52,"Plan 1200",60*12/52,"Plan 1000",25*12/52,"")</f>
        <v>22.384615384615383</v>
      </c>
      <c r="R2" s="8" cm="1">
        <f t="array" ref="R2">_xlfn.SWITCH($O2,"Plan 1600",25*12/52,"Plan 1400",20*12/52,"Plan 1200",15*12/52,"Plan 1000",2*12/52,"")</f>
        <v>5.7692307692307692</v>
      </c>
      <c r="T2">
        <f>VLOOKUP(A2,'W4'!A:B,2,FALSE)</f>
        <v>-369.23</v>
      </c>
      <c r="U2" t="str" cm="1">
        <f t="array" ref="U2">_xlfn.IFS(
T2=-369.23,"Plan 1600",
T2=-323.08,"Plan 1400",
T2=-276.92,"Plan 1200",
T2=-230.77,"Plan 1000"
)</f>
        <v>Plan 1600</v>
      </c>
      <c r="V2" s="8" cm="1">
        <f t="array" ref="V2">_xlfn.SWITCH($U2,"Plan 1600",15*12/52,"Plan 1400",10*12/52,"Plan 1200",5*12/52,"Plan 1000",1.5*12/52,"")</f>
        <v>3.4615384615384617</v>
      </c>
      <c r="W2" s="8" cm="1">
        <f t="array" ref="W2">_xlfn.SWITCH($U2,"Plan 1600",97*12/52,"Plan 1400",78*12/52,"Plan 1200",60*12/52,"Plan 1000",25*12/52,"")</f>
        <v>22.384615384615383</v>
      </c>
      <c r="X2" s="8" cm="1">
        <f t="array" ref="X2">_xlfn.SWITCH($U2,"Plan 1600",25*12/52,"Plan 1400",20*12/52,"Plan 1200",15*12/52,"Plan 1000",2*12/52,"")</f>
        <v>5.7692307692307692</v>
      </c>
      <c r="AA2" s="9" t="s">
        <v>2</v>
      </c>
      <c r="AB2" s="10" t="s">
        <v>3</v>
      </c>
      <c r="AC2" s="11" t="s">
        <v>4</v>
      </c>
    </row>
    <row r="3" spans="1:32" x14ac:dyDescent="0.25">
      <c r="A3" s="15" t="s">
        <v>9</v>
      </c>
      <c r="B3">
        <f>VLOOKUP(A3,'W1'!A:B,2,FALSE)</f>
        <v>-369.23</v>
      </c>
      <c r="C3" t="str" cm="1">
        <f t="array" ref="C3">_xlfn.IFS(
B3=-369.23,"Plan 1600",
B3=-323.08,"Plan 1400",
B3=-276.92,"Plan 1200",
B3=-230.77,"Plan 1000"
)</f>
        <v>Plan 1600</v>
      </c>
      <c r="D3" s="8" cm="1">
        <f t="array" ref="D3">_xlfn.SWITCH($C3,"Plan 1600",15*12/52,"Plan 1400",10*12/52,"Plan 1200",5*12/52,"Plan 1000",1.5*12/52,"")</f>
        <v>3.4615384615384617</v>
      </c>
      <c r="E3" s="8" cm="1">
        <f t="array" ref="E3">_xlfn.SWITCH($C3,"Plan 1600",97*12/52,"Plan 1400",78*12/52,"Plan 1200",60*12/52,"Plan 1000",25*12/52,"")</f>
        <v>22.384615384615383</v>
      </c>
      <c r="F3" s="8" cm="1">
        <f t="array" ref="F3">_xlfn.SWITCH($C3,"Plan 1600",25*12/52,"Plan 1400",20*12/52,"Plan 1200",15*12/52,"Plan 1000",2*12/52,"")</f>
        <v>5.7692307692307692</v>
      </c>
      <c r="H3">
        <f>VLOOKUP(A3,'W2'!A:B,2,FALSE)</f>
        <v>-369.23</v>
      </c>
      <c r="I3" t="str" cm="1">
        <f t="array" ref="I3">_xlfn.IFS(
H3=-369.23,"Plan 1600",
H3=-323.08,"Plan 1400",
H3=-276.92,"Plan 1200",
H3=-230.77,"Plan 1000"
)</f>
        <v>Plan 1600</v>
      </c>
      <c r="J3" s="8" cm="1">
        <f t="array" ref="J3">_xlfn.SWITCH($I3,"Plan 1600",15*12/52,"Plan 1400",10*12/52,"Plan 1200",5*12/52,"Plan 1000",1.5*12/52,"")</f>
        <v>3.4615384615384617</v>
      </c>
      <c r="K3" s="8" cm="1">
        <f t="array" ref="K3">_xlfn.SWITCH($I3,"Plan 1600",97*12/52,"Plan 1400",78*12/52,"Plan 1200",60*12/52,"Plan 1000",25*12/52,"")</f>
        <v>22.384615384615383</v>
      </c>
      <c r="L3" s="8" cm="1">
        <f t="array" ref="L3">_xlfn.SWITCH($I3,"Plan 1600",25*12/52,"Plan 1400",20*12/52,"Plan 1200",15*12/52,"Plan 1000",2*12/52,"")</f>
        <v>5.7692307692307692</v>
      </c>
      <c r="N3">
        <f>VLOOKUP(A3,'W3'!A:B,2,FALSE)</f>
        <v>-369.23</v>
      </c>
      <c r="O3" t="str" cm="1">
        <f t="array" ref="O3">_xlfn.IFS(
N3=-369.23,"Plan 1600",
N3=-323.08,"Plan 1400",
N3=-276.92,"Plan 1200",
N3=-230.77,"Plan 1000"
)</f>
        <v>Plan 1600</v>
      </c>
      <c r="P3" s="8" cm="1">
        <f t="array" ref="P3">_xlfn.SWITCH($O3,"Plan 1600",15*12/52,"Plan 1400",10*12/52,"Plan 1200",5*12/52,"Plan 1000",1.5*12/52,"")</f>
        <v>3.4615384615384617</v>
      </c>
      <c r="Q3" s="8" cm="1">
        <f t="array" ref="Q3">_xlfn.SWITCH($O3,"Plan 1600",97*12/52,"Plan 1400",78*12/52,"Plan 1200",60*12/52,"Plan 1000",25*12/52,"")</f>
        <v>22.384615384615383</v>
      </c>
      <c r="R3" s="8" cm="1">
        <f t="array" ref="R3">_xlfn.SWITCH($O3,"Plan 1600",25*12/52,"Plan 1400",20*12/52,"Plan 1200",15*12/52,"Plan 1000",2*12/52,"")</f>
        <v>5.7692307692307692</v>
      </c>
      <c r="T3">
        <f>VLOOKUP(A3,'W4'!A:B,2,FALSE)</f>
        <v>-369.23</v>
      </c>
      <c r="U3" t="str" cm="1">
        <f t="array" ref="U3">_xlfn.IFS(
T3=-369.23,"Plan 1600",
T3=-323.08,"Plan 1400",
T3=-276.92,"Plan 1200",
T3=-230.77,"Plan 1000"
)</f>
        <v>Plan 1600</v>
      </c>
      <c r="V3" s="8" cm="1">
        <f t="array" ref="V3">_xlfn.SWITCH($U3,"Plan 1600",15*12/52,"Plan 1400",10*12/52,"Plan 1200",5*12/52,"Plan 1000",1.5*12/52,"")</f>
        <v>3.4615384615384617</v>
      </c>
      <c r="W3" s="8" cm="1">
        <f t="array" ref="W3">_xlfn.SWITCH($U3,"Plan 1600",97*12/52,"Plan 1400",78*12/52,"Plan 1200",60*12/52,"Plan 1000",25*12/52,"")</f>
        <v>22.384615384615383</v>
      </c>
      <c r="X3" s="8" cm="1">
        <f t="array" ref="X3">_xlfn.SWITCH($U3,"Plan 1600",25*12/52,"Plan 1400",20*12/52,"Plan 1200",15*12/52,"Plan 1000",2*12/52,"")</f>
        <v>5.7692307692307692</v>
      </c>
      <c r="AA3" s="12">
        <f>D7+J7+P7+V7</f>
        <v>63</v>
      </c>
      <c r="AB3" s="12">
        <f t="shared" ref="AB3:AC3" si="0">E7+K7+Q7+W7</f>
        <v>414.46153846153845</v>
      </c>
      <c r="AC3" s="12">
        <f t="shared" si="0"/>
        <v>104.76923076923077</v>
      </c>
    </row>
    <row r="4" spans="1:32" x14ac:dyDescent="0.25">
      <c r="A4" s="15" t="s">
        <v>10</v>
      </c>
      <c r="B4">
        <f>VLOOKUP(A4,'W1'!A:B,2,FALSE)</f>
        <v>-369.23</v>
      </c>
      <c r="C4" t="str" cm="1">
        <f t="array" ref="C4">_xlfn.IFS(
B4=-369.23,"Plan 1600",
B4=-323.08,"Plan 1400",
B4=-276.92,"Plan 1200",
B4=-230.77,"Plan 1000"
)</f>
        <v>Plan 1600</v>
      </c>
      <c r="D4" s="8" cm="1">
        <f t="array" ref="D4">_xlfn.SWITCH($C4,"Plan 1600",15*12/52,"Plan 1400",10*12/52,"Plan 1200",5*12/52,"Plan 1000",1.5*12/52,"")</f>
        <v>3.4615384615384617</v>
      </c>
      <c r="E4" s="8" cm="1">
        <f t="array" ref="E4">_xlfn.SWITCH($C4,"Plan 1600",97*12/52,"Plan 1400",78*12/52,"Plan 1200",60*12/52,"Plan 1000",25*12/52,"")</f>
        <v>22.384615384615383</v>
      </c>
      <c r="F4" s="8" cm="1">
        <f t="array" ref="F4">_xlfn.SWITCH($C4,"Plan 1600",25*12/52,"Plan 1400",20*12/52,"Plan 1200",15*12/52,"Plan 1000",2*12/52,"")</f>
        <v>5.7692307692307692</v>
      </c>
      <c r="H4">
        <f>VLOOKUP(A4,'W2'!A:B,2,FALSE)</f>
        <v>-369.23</v>
      </c>
      <c r="I4" t="str" cm="1">
        <f t="array" ref="I4">_xlfn.IFS(
H4=-369.23,"Plan 1600",
H4=-323.08,"Plan 1400",
H4=-276.92,"Plan 1200",
H4=-230.77,"Plan 1000"
)</f>
        <v>Plan 1600</v>
      </c>
      <c r="J4" s="8" cm="1">
        <f t="array" ref="J4">_xlfn.SWITCH($I4,"Plan 1600",15*12/52,"Plan 1400",10*12/52,"Plan 1200",5*12/52,"Plan 1000",1.5*12/52,"")</f>
        <v>3.4615384615384617</v>
      </c>
      <c r="K4" s="8" cm="1">
        <f t="array" ref="K4">_xlfn.SWITCH($I4,"Plan 1600",97*12/52,"Plan 1400",78*12/52,"Plan 1200",60*12/52,"Plan 1000",25*12/52,"")</f>
        <v>22.384615384615383</v>
      </c>
      <c r="L4" s="8" cm="1">
        <f t="array" ref="L4">_xlfn.SWITCH($I4,"Plan 1600",25*12/52,"Plan 1400",20*12/52,"Plan 1200",15*12/52,"Plan 1000",2*12/52,"")</f>
        <v>5.7692307692307692</v>
      </c>
      <c r="N4">
        <f>VLOOKUP(A4,'W3'!A:B,2,FALSE)</f>
        <v>-369.23</v>
      </c>
      <c r="O4" t="str" cm="1">
        <f t="array" ref="O4">_xlfn.IFS(
N4=-369.23,"Plan 1600",
N4=-323.08,"Plan 1400",
N4=-276.92,"Plan 1200",
N4=-230.77,"Plan 1000"
)</f>
        <v>Plan 1600</v>
      </c>
      <c r="P4" s="8" cm="1">
        <f t="array" ref="P4">_xlfn.SWITCH($O4,"Plan 1600",15*12/52,"Plan 1400",10*12/52,"Plan 1200",5*12/52,"Plan 1000",1.5*12/52,"")</f>
        <v>3.4615384615384617</v>
      </c>
      <c r="Q4" s="8" cm="1">
        <f t="array" ref="Q4">_xlfn.SWITCH($O4,"Plan 1600",97*12/52,"Plan 1400",78*12/52,"Plan 1200",60*12/52,"Plan 1000",25*12/52,"")</f>
        <v>22.384615384615383</v>
      </c>
      <c r="R4" s="8" cm="1">
        <f t="array" ref="R4">_xlfn.SWITCH($O4,"Plan 1600",25*12/52,"Plan 1400",20*12/52,"Plan 1200",15*12/52,"Plan 1000",2*12/52,"")</f>
        <v>5.7692307692307692</v>
      </c>
      <c r="T4">
        <f>VLOOKUP(A4,'W4'!A:B,2,FALSE)</f>
        <v>-369.23</v>
      </c>
      <c r="U4" t="str" cm="1">
        <f t="array" ref="U4">_xlfn.IFS(
T4=-369.23,"Plan 1600",
T4=-323.08,"Plan 1400",
T4=-276.92,"Plan 1200",
T4=-230.77,"Plan 1000"
)</f>
        <v>Plan 1600</v>
      </c>
      <c r="V4" s="8" cm="1">
        <f t="array" ref="V4">_xlfn.SWITCH($U4,"Plan 1600",15*12/52,"Plan 1400",10*12/52,"Plan 1200",5*12/52,"Plan 1000",1.5*12/52,"")</f>
        <v>3.4615384615384617</v>
      </c>
      <c r="W4" s="8" cm="1">
        <f t="array" ref="W4">_xlfn.SWITCH($U4,"Plan 1600",97*12/52,"Plan 1400",78*12/52,"Plan 1200",60*12/52,"Plan 1000",25*12/52,"")</f>
        <v>22.384615384615383</v>
      </c>
      <c r="X4" s="8" cm="1">
        <f t="array" ref="X4">_xlfn.SWITCH($U4,"Plan 1600",25*12/52,"Plan 1400",20*12/52,"Plan 1200",15*12/52,"Plan 1000",2*12/52,"")</f>
        <v>5.7692307692307692</v>
      </c>
    </row>
    <row r="5" spans="1:32" x14ac:dyDescent="0.25">
      <c r="A5" s="15" t="s">
        <v>11</v>
      </c>
      <c r="B5">
        <f>VLOOKUP(A5,'W1'!A:B,2,FALSE)</f>
        <v>-369.23</v>
      </c>
      <c r="C5" t="str" cm="1">
        <f t="array" ref="C5">_xlfn.IFS(
B5=-369.23,"Plan 1600",
B5=-323.08,"Plan 1400",
B5=-276.92,"Plan 1200",
B5=-230.77,"Plan 1000"
)</f>
        <v>Plan 1600</v>
      </c>
      <c r="D5" s="8" cm="1">
        <f t="array" ref="D5">_xlfn.SWITCH($C5,"Plan 1600",15*12/52,"Plan 1400",10*12/52,"Plan 1200",5*12/52,"Plan 1000",1.5*12/52,"")</f>
        <v>3.4615384615384617</v>
      </c>
      <c r="E5" s="8" cm="1">
        <f t="array" ref="E5">_xlfn.SWITCH($C5,"Plan 1600",97*12/52,"Plan 1400",78*12/52,"Plan 1200",60*12/52,"Plan 1000",25*12/52,"")</f>
        <v>22.384615384615383</v>
      </c>
      <c r="F5" s="8" cm="1">
        <f t="array" ref="F5">_xlfn.SWITCH($C5,"Plan 1600",25*12/52,"Plan 1400",20*12/52,"Plan 1200",15*12/52,"Plan 1000",2*12/52,"")</f>
        <v>5.7692307692307692</v>
      </c>
      <c r="H5">
        <f>VLOOKUP(A5,'W2'!A:B,2,FALSE)</f>
        <v>-369.23</v>
      </c>
      <c r="I5" t="str" cm="1">
        <f t="array" ref="I5">_xlfn.IFS(
H5=-369.23,"Plan 1600",
H5=-323.08,"Plan 1400",
H5=-276.92,"Plan 1200",
H5=-230.77,"Plan 1000"
)</f>
        <v>Plan 1600</v>
      </c>
      <c r="J5" s="8" cm="1">
        <f t="array" ref="J5">_xlfn.SWITCH($I5,"Plan 1600",15*12/52,"Plan 1400",10*12/52,"Plan 1200",5*12/52,"Plan 1000",1.5*12/52,"")</f>
        <v>3.4615384615384617</v>
      </c>
      <c r="K5" s="8" cm="1">
        <f t="array" ref="K5">_xlfn.SWITCH($I5,"Plan 1600",97*12/52,"Plan 1400",78*12/52,"Plan 1200",60*12/52,"Plan 1000",25*12/52,"")</f>
        <v>22.384615384615383</v>
      </c>
      <c r="L5" s="8" cm="1">
        <f t="array" ref="L5">_xlfn.SWITCH($I5,"Plan 1600",25*12/52,"Plan 1400",20*12/52,"Plan 1200",15*12/52,"Plan 1000",2*12/52,"")</f>
        <v>5.7692307692307692</v>
      </c>
      <c r="N5">
        <f>VLOOKUP(A5,'W3'!A:B,2,FALSE)</f>
        <v>-369.23</v>
      </c>
      <c r="O5" t="str" cm="1">
        <f t="array" ref="O5">_xlfn.IFS(
N5=-369.23,"Plan 1600",
N5=-323.08,"Plan 1400",
N5=-276.92,"Plan 1200",
N5=-230.77,"Plan 1000"
)</f>
        <v>Plan 1600</v>
      </c>
      <c r="P5" s="8" cm="1">
        <f t="array" ref="P5">_xlfn.SWITCH($O5,"Plan 1600",15*12/52,"Plan 1400",10*12/52,"Plan 1200",5*12/52,"Plan 1000",1.5*12/52,"")</f>
        <v>3.4615384615384617</v>
      </c>
      <c r="Q5" s="8" cm="1">
        <f t="array" ref="Q5">_xlfn.SWITCH($O5,"Plan 1600",97*12/52,"Plan 1400",78*12/52,"Plan 1200",60*12/52,"Plan 1000",25*12/52,"")</f>
        <v>22.384615384615383</v>
      </c>
      <c r="R5" s="8" cm="1">
        <f t="array" ref="R5">_xlfn.SWITCH($O5,"Plan 1600",25*12/52,"Plan 1400",20*12/52,"Plan 1200",15*12/52,"Plan 1000",2*12/52,"")</f>
        <v>5.7692307692307692</v>
      </c>
      <c r="T5">
        <f>VLOOKUP(A5,'W4'!A:B,2,FALSE)</f>
        <v>-369.23</v>
      </c>
      <c r="U5" t="str" cm="1">
        <f t="array" ref="U5">_xlfn.IFS(
T5=-369.23,"Plan 1600",
T5=-323.08,"Plan 1400",
T5=-276.92,"Plan 1200",
T5=-230.77,"Plan 1000"
)</f>
        <v>Plan 1600</v>
      </c>
      <c r="V5" s="8" cm="1">
        <f t="array" ref="V5">_xlfn.SWITCH($U5,"Plan 1600",15*12/52,"Plan 1400",10*12/52,"Plan 1200",5*12/52,"Plan 1000",1.5*12/52,"")</f>
        <v>3.4615384615384617</v>
      </c>
      <c r="W5" s="8" cm="1">
        <f t="array" ref="W5">_xlfn.SWITCH($U5,"Plan 1600",97*12/52,"Plan 1400",78*12/52,"Plan 1200",60*12/52,"Plan 1000",25*12/52,"")</f>
        <v>22.384615384615383</v>
      </c>
      <c r="X5" s="8" cm="1">
        <f t="array" ref="X5">_xlfn.SWITCH($U5,"Plan 1600",25*12/52,"Plan 1400",20*12/52,"Plan 1200",15*12/52,"Plan 1000",2*12/52,"")</f>
        <v>5.7692307692307692</v>
      </c>
      <c r="AB5" s="20" t="s">
        <v>21</v>
      </c>
      <c r="AC5" s="20" t="s">
        <v>22</v>
      </c>
    </row>
    <row r="6" spans="1:32" x14ac:dyDescent="0.25">
      <c r="A6" s="15" t="s">
        <v>12</v>
      </c>
      <c r="B6">
        <f>VLOOKUP(A6,'W1'!A:B,2,FALSE)</f>
        <v>-369.23</v>
      </c>
      <c r="C6" t="str" cm="1">
        <f t="array" ref="C6">_xlfn.IFS(
B6=-369.23,"Plan 1600",
B6=-323.08,"Plan 1400",
B6=-276.92,"Plan 1200",
B6=-230.77,"Plan 1000"
)</f>
        <v>Plan 1600</v>
      </c>
      <c r="D6" s="8" cm="1">
        <f t="array" ref="D6">_xlfn.SWITCH($C6,"Plan 1600",15*12/52,"Plan 1400",10*12/52,"Plan 1200",5*12/52,"Plan 1000",1.5*12/52,"")</f>
        <v>3.4615384615384617</v>
      </c>
      <c r="E6" s="8" cm="1">
        <f t="array" ref="E6">_xlfn.SWITCH($C6,"Plan 1600",97*12/52,"Plan 1400",78*12/52,"Plan 1200",60*12/52,"Plan 1000",25*12/52,"")</f>
        <v>22.384615384615383</v>
      </c>
      <c r="F6" s="8" cm="1">
        <f t="array" ref="F6">_xlfn.SWITCH($C6,"Plan 1600",25*12/52,"Plan 1400",20*12/52,"Plan 1200",15*12/52,"Plan 1000",2*12/52,"")</f>
        <v>5.7692307692307692</v>
      </c>
      <c r="H6">
        <f>VLOOKUP(A6,'W2'!A:B,2,FALSE)</f>
        <v>-369.23</v>
      </c>
      <c r="I6" t="str" cm="1">
        <f t="array" ref="I6">_xlfn.IFS(
H6=-369.23,"Plan 1600",
H6=-323.08,"Plan 1400",
H6=-276.92,"Plan 1200",
H6=-230.77,"Plan 1000"
)</f>
        <v>Plan 1600</v>
      </c>
      <c r="J6" s="8" cm="1">
        <f t="array" ref="J6">_xlfn.SWITCH($I6,"Plan 1600",15*12/52,"Plan 1400",10*12/52,"Plan 1200",5*12/52,"Plan 1000",1.5*12/52,"")</f>
        <v>3.4615384615384617</v>
      </c>
      <c r="K6" s="8" cm="1">
        <f t="array" ref="K6">_xlfn.SWITCH($I6,"Plan 1600",97*12/52,"Plan 1400",78*12/52,"Plan 1200",60*12/52,"Plan 1000",25*12/52,"")</f>
        <v>22.384615384615383</v>
      </c>
      <c r="L6" s="8" cm="1">
        <f t="array" ref="L6">_xlfn.SWITCH($I6,"Plan 1600",25*12/52,"Plan 1400",20*12/52,"Plan 1200",15*12/52,"Plan 1000",2*12/52,"")</f>
        <v>5.7692307692307692</v>
      </c>
      <c r="N6">
        <f>VLOOKUP(A6,'W3'!A:B,2,FALSE)</f>
        <v>-369.23</v>
      </c>
      <c r="O6" t="str" cm="1">
        <f t="array" ref="O6">_xlfn.IFS(
N6=-369.23,"Plan 1600",
N6=-323.08,"Plan 1400",
N6=-276.92,"Plan 1200",
N6=-230.77,"Plan 1000"
)</f>
        <v>Plan 1600</v>
      </c>
      <c r="P6" s="8" cm="1">
        <f t="array" ref="P6">_xlfn.SWITCH($O6,"Plan 1600",15*12/52,"Plan 1400",10*12/52,"Plan 1200",5*12/52,"Plan 1000",1.5*12/52,"")</f>
        <v>3.4615384615384617</v>
      </c>
      <c r="Q6" s="8" cm="1">
        <f t="array" ref="Q6">_xlfn.SWITCH($O6,"Plan 1600",97*12/52,"Plan 1400",78*12/52,"Plan 1200",60*12/52,"Plan 1000",25*12/52,"")</f>
        <v>22.384615384615383</v>
      </c>
      <c r="R6" s="8" cm="1">
        <f t="array" ref="R6">_xlfn.SWITCH($O6,"Plan 1600",25*12/52,"Plan 1400",20*12/52,"Plan 1200",15*12/52,"Plan 1000",2*12/52,"")</f>
        <v>5.7692307692307692</v>
      </c>
      <c r="T6">
        <f>VLOOKUP(A6,'W4'!A:B,2,FALSE)</f>
        <v>-369.23</v>
      </c>
      <c r="U6" t="str" cm="1">
        <f t="array" ref="U6">_xlfn.IFS(
T6=-369.23,"Plan 1600",
T6=-323.08,"Plan 1400",
T6=-276.92,"Plan 1200",
T6=-230.77,"Plan 1000"
)</f>
        <v>Plan 1600</v>
      </c>
      <c r="V6" s="8" cm="1">
        <f t="array" ref="V6">_xlfn.SWITCH($U6,"Plan 1600",15*12/52,"Plan 1400",10*12/52,"Plan 1200",5*12/52,"Plan 1000",1.5*12/52,"")</f>
        <v>3.4615384615384617</v>
      </c>
      <c r="W6" s="8" cm="1">
        <f t="array" ref="W6">_xlfn.SWITCH($U6,"Plan 1600",97*12/52,"Plan 1400",78*12/52,"Plan 1200",60*12/52,"Plan 1000",25*12/52,"")</f>
        <v>22.384615384615383</v>
      </c>
      <c r="X6" s="8" cm="1">
        <f t="array" ref="X6">_xlfn.SWITCH($U6,"Plan 1600",25*12/52,"Plan 1400",20*12/52,"Plan 1200",15*12/52,"Plan 1000",2*12/52,"")</f>
        <v>5.7692307692307692</v>
      </c>
      <c r="Z6" s="21" t="s">
        <v>18</v>
      </c>
      <c r="AA6" cm="1">
        <f t="array" ref="AA6">SUMPRODUCT(--(
 (ISNUMBER(SEARCH("Plan 1000",C2:C9999))+
  ISNUMBER(SEARCH("Plan 1000",I2:I9999))+
  ISNUMBER(SEARCH("Plan 1000",O2:O9999))+
  ISNUMBER(SEARCH("Plan 1000",U2:U9999)))&gt;0
))</f>
        <v>1</v>
      </c>
      <c r="AB6" s="8">
        <f>AA6*15</f>
        <v>15</v>
      </c>
      <c r="AC6" s="8">
        <f>AA6*15</f>
        <v>15</v>
      </c>
      <c r="AD6" s="8"/>
      <c r="AE6" s="8"/>
      <c r="AF6" s="8"/>
    </row>
    <row r="7" spans="1:32" x14ac:dyDescent="0.25">
      <c r="D7" s="12">
        <f>SUM(D2:D6)</f>
        <v>14.192307692307693</v>
      </c>
      <c r="E7" s="12">
        <f t="shared" ref="E7:F7" si="1">SUM(E2:E6)</f>
        <v>95.307692307692307</v>
      </c>
      <c r="F7" s="12">
        <f t="shared" si="1"/>
        <v>23.53846153846154</v>
      </c>
      <c r="J7" s="12">
        <f>SUM(J2:J6)</f>
        <v>14.192307692307693</v>
      </c>
      <c r="K7" s="12">
        <f t="shared" ref="K7" si="2">SUM(K2:K6)</f>
        <v>95.307692307692307</v>
      </c>
      <c r="L7" s="12">
        <f t="shared" ref="L7" si="3">SUM(L2:L6)</f>
        <v>23.53846153846154</v>
      </c>
      <c r="P7" s="12">
        <f>SUM(P2:P6)</f>
        <v>17.307692307692307</v>
      </c>
      <c r="Q7" s="12">
        <f t="shared" ref="Q7" si="4">SUM(Q2:Q6)</f>
        <v>111.92307692307692</v>
      </c>
      <c r="R7" s="12">
        <f t="shared" ref="R7" si="5">SUM(R2:R6)</f>
        <v>28.846153846153847</v>
      </c>
      <c r="V7" s="12">
        <f>SUM(V2:V6)</f>
        <v>17.307692307692307</v>
      </c>
      <c r="W7" s="12">
        <f t="shared" ref="W7" si="6">SUM(W2:W6)</f>
        <v>111.92307692307692</v>
      </c>
      <c r="X7" s="12">
        <f t="shared" ref="X7" si="7">SUM(X2:X6)</f>
        <v>28.846153846153847</v>
      </c>
      <c r="Z7" s="21" t="s">
        <v>19</v>
      </c>
      <c r="AA7" cm="1">
        <f t="array" ref="AA7">SUMPRODUCT(--(
 (ISNUMBER(SEARCH("Plan 1000",C2:C9999))+ISNUMBER(SEARCH("Plan 1000",I2:I9999))+ISNUMBER(SEARCH("Plan 1000",O2:O9999))+ISNUMBER(SEARCH("Plan 1000",U2:U9999))=0)*
 (ISNUMBER(SEARCH("Plan 1200",C2:C9999))+ISNUMBER(SEARCH("Plan 1400",C2:C9999))+ISNUMBER(SEARCH("Plan 1600",C2:C9999))&gt;0)*
 (ISNUMBER(SEARCH("Plan 1200",I2:I9999))+ISNUMBER(SEARCH("Plan 1400",I2:I9999))+ISNUMBER(SEARCH("Plan 1600",I2:I9999))&gt;0)*
 (ISNUMBER(SEARCH("Plan 1200",O2:O9999))+ISNUMBER(SEARCH("Plan 1400",O2:O9999))+ISNUMBER(SEARCH("Plan 1600",O2:O9999))&gt;0)*
 (ISNUMBER(SEARCH("Plan 1200",U2:U9999))+ISNUMBER(SEARCH("Plan 1400",U2:U9999))+ISNUMBER(SEARCH("Plan 1600",U2:U9999))&gt;0)
))</f>
        <v>4</v>
      </c>
      <c r="AB7" s="8">
        <f>AA7*35</f>
        <v>140</v>
      </c>
      <c r="AC7" s="8">
        <f>AA7*35</f>
        <v>140</v>
      </c>
      <c r="AD7" s="8"/>
      <c r="AE7" s="8"/>
      <c r="AF7" s="8"/>
    </row>
    <row r="8" spans="1:32" x14ac:dyDescent="0.25">
      <c r="Z8" s="21" t="s">
        <v>20</v>
      </c>
      <c r="AB8" s="8">
        <f>SUM(AB6:AB7)</f>
        <v>155</v>
      </c>
      <c r="AC8" s="8">
        <f>SUM(AC6:AC7)</f>
        <v>155</v>
      </c>
      <c r="AD8" s="8">
        <f>SUM(AB8:AC8)</f>
        <v>310</v>
      </c>
      <c r="AE8" s="8"/>
      <c r="AF8" s="8"/>
    </row>
  </sheetData>
  <mergeCells count="1">
    <mergeCell ref="AA1:AC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9392BA-A9DB-43D0-9AFC-6AA0FF0E86EE}">
  <dimension ref="A1:X2"/>
  <sheetViews>
    <sheetView workbookViewId="0">
      <selection activeCell="D17" sqref="D17"/>
    </sheetView>
  </sheetViews>
  <sheetFormatPr defaultRowHeight="15" x14ac:dyDescent="0.25"/>
  <sheetData>
    <row r="1" spans="1:24" x14ac:dyDescent="0.25">
      <c r="A1" s="1" t="s">
        <v>0</v>
      </c>
      <c r="B1" s="1" t="s">
        <v>1</v>
      </c>
    </row>
    <row r="2" spans="1:24" x14ac:dyDescent="0.25">
      <c r="A2" s="14" t="s">
        <v>13</v>
      </c>
      <c r="B2">
        <f>VLOOKUP(A2,'W1'!A:B,2,FALSE)</f>
        <v>-369.23</v>
      </c>
      <c r="C2" t="str" cm="1">
        <f t="array" ref="C2">_xlfn.IFS(
B2=-369.23,"Plan 1600",
B2=-323.08,"Plan 1400",
B2=-276.92,"Plan 1200",
B2=-230.77,"Plan 1000"
)</f>
        <v>Plan 1600</v>
      </c>
      <c r="D2" s="8" cm="1">
        <f t="array" ref="D2">_xlfn.SWITCH($C2,"Plan 1600",15*12/52,"Plan 1400",10*12/52,"Plan 1200",5*12/52,"Plan 1000",1.5*12/52,"")</f>
        <v>3.4615384615384617</v>
      </c>
      <c r="E2" s="8" cm="1">
        <f t="array" ref="E2">_xlfn.SWITCH($C2,"Plan 1600",97*12/52,"Plan 1400",78*12/52,"Plan 1200",60*12/52,"Plan 1000",25*12/52,"")</f>
        <v>22.384615384615383</v>
      </c>
      <c r="F2" s="8" cm="1">
        <f t="array" ref="F2">_xlfn.SWITCH($C2,"Plan 1600",25*12/52,"Plan 1400",20*12/52,"Plan 1200",15*12/52,"Plan 1000",2*12/52,"")</f>
        <v>5.7692307692307692</v>
      </c>
      <c r="G2" s="3"/>
      <c r="H2">
        <f>VLOOKUP(A2,'W2'!A:B,2,FALSE)</f>
        <v>0</v>
      </c>
      <c r="I2" t="e" cm="1">
        <f t="array" ref="I2">_xlfn.IFS(
H2=-369.23,"Plan 1600",
H2=-323.08,"Plan 1400",
H2=-276.92,"Plan 1200",
H2=-230.77,"Plan 1000"
)</f>
        <v>#N/A</v>
      </c>
      <c r="J2" s="8" t="e" cm="1">
        <f t="array" ref="J2">_xlfn.SWITCH($I2,"Plan 1600",15*12/52,"Plan 1400",10*12/52,"Plan 1200",5*12/52,"Plan 1000",1.5*12/52,"")</f>
        <v>#N/A</v>
      </c>
      <c r="K2" s="8" t="e" cm="1">
        <f t="array" ref="K2">_xlfn.SWITCH($I2,"Plan 1600",97*12/52,"Plan 1400",78*12/52,"Plan 1200",60*12/52,"Plan 1000",25*12/52,"")</f>
        <v>#N/A</v>
      </c>
      <c r="L2" s="8" t="e" cm="1">
        <f t="array" ref="L2">_xlfn.SWITCH($I2,"Plan 1600",25*12/52,"Plan 1400",20*12/52,"Plan 1200",15*12/52,"Plan 1000",2*12/52,"")</f>
        <v>#N/A</v>
      </c>
      <c r="M2" s="3"/>
      <c r="N2" t="e">
        <f>VLOOKUP(A2,'W3'!A:B,2,FALSE)</f>
        <v>#N/A</v>
      </c>
      <c r="O2" t="e" cm="1">
        <f t="array" ref="O2">_xlfn.IFS(
N2=-369.23,"Plan 1600",
N2=-323.08,"Plan 1400",
N2=-276.92,"Plan 1200",
N2=-230.77,"Plan 1000"
)</f>
        <v>#N/A</v>
      </c>
      <c r="P2" s="8" t="e" cm="1">
        <f t="array" ref="P2">_xlfn.SWITCH($O2,"Plan 1600",15*12/52,"Plan 1400",10*12/52,"Plan 1200",5*12/52,"Plan 1000",1.5*12/52,"")</f>
        <v>#N/A</v>
      </c>
      <c r="Q2" s="8" t="e" cm="1">
        <f t="array" ref="Q2">_xlfn.SWITCH($O2,"Plan 1600",97*12/52,"Plan 1400",78*12/52,"Plan 1200",60*12/52,"Plan 1000",25*12/52,"")</f>
        <v>#N/A</v>
      </c>
      <c r="R2" s="8" t="e" cm="1">
        <f t="array" ref="R2">_xlfn.SWITCH($O2,"Plan 1600",25*12/52,"Plan 1400",20*12/52,"Plan 1200",15*12/52,"Plan 1000",2*12/52,"")</f>
        <v>#N/A</v>
      </c>
      <c r="S2" s="3"/>
      <c r="T2">
        <f>VLOOKUP(A2,'W4'!A:B,2,FALSE)</f>
        <v>0</v>
      </c>
      <c r="U2" t="e" cm="1">
        <f t="array" ref="U2">_xlfn.IFS(
T2=-369.23,"Plan 1600",
T2=-323.08,"Plan 1400",
T2=-276.92,"Plan 1200",
T2=-230.77,"Plan 1000"
)</f>
        <v>#N/A</v>
      </c>
      <c r="V2" s="8" t="e" cm="1">
        <f t="array" ref="V2">_xlfn.SWITCH($U2,"Plan 1600",15*12/52,"Plan 1400",10*12/52,"Plan 1200",5*12/52,"Plan 1000",1.5*12/52,"")</f>
        <v>#N/A</v>
      </c>
      <c r="W2" s="8" t="e" cm="1">
        <f t="array" ref="W2">_xlfn.SWITCH($U2,"Plan 1600",97*12/52,"Plan 1400",78*12/52,"Plan 1200",60*12/52,"Plan 1000",25*12/52,"")</f>
        <v>#N/A</v>
      </c>
      <c r="X2" s="8" t="e" cm="1">
        <f t="array" ref="X2">_xlfn.SWITCH($U2,"Plan 1600",25*12/52,"Plan 1400",20*12/52,"Plan 1200",15*12/52,"Plan 1000",2*12/52,"")</f>
        <v>#N/A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1424C8-5BC6-44AE-BD21-F888DF63BB2C}">
  <dimension ref="A1:D7"/>
  <sheetViews>
    <sheetView workbookViewId="0">
      <selection activeCell="B2" sqref="B2:B7"/>
    </sheetView>
  </sheetViews>
  <sheetFormatPr defaultRowHeight="15" x14ac:dyDescent="0.25"/>
  <sheetData>
    <row r="1" spans="1:4" x14ac:dyDescent="0.25">
      <c r="A1" s="13" t="s">
        <v>6</v>
      </c>
      <c r="B1" s="13" t="s">
        <v>7</v>
      </c>
    </row>
    <row r="2" spans="1:4" x14ac:dyDescent="0.25">
      <c r="A2" s="14" t="s">
        <v>8</v>
      </c>
      <c r="B2">
        <v>-230.77</v>
      </c>
      <c r="D2">
        <v>-1</v>
      </c>
    </row>
    <row r="3" spans="1:4" x14ac:dyDescent="0.25">
      <c r="A3" s="14" t="s">
        <v>9</v>
      </c>
      <c r="B3">
        <v>-369.23</v>
      </c>
    </row>
    <row r="4" spans="1:4" x14ac:dyDescent="0.25">
      <c r="A4" s="14" t="s">
        <v>10</v>
      </c>
      <c r="B4">
        <v>-369.23</v>
      </c>
    </row>
    <row r="5" spans="1:4" x14ac:dyDescent="0.25">
      <c r="A5" s="14" t="s">
        <v>11</v>
      </c>
      <c r="B5">
        <v>-369.23</v>
      </c>
    </row>
    <row r="6" spans="1:4" x14ac:dyDescent="0.25">
      <c r="A6" s="14" t="s">
        <v>12</v>
      </c>
      <c r="B6">
        <v>-369.23</v>
      </c>
    </row>
    <row r="7" spans="1:4" x14ac:dyDescent="0.25">
      <c r="A7" s="14" t="s">
        <v>13</v>
      </c>
      <c r="B7">
        <v>-369.23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462AEA-59C3-4C73-A768-8A57348BFCFD}">
  <dimension ref="A1:B7"/>
  <sheetViews>
    <sheetView workbookViewId="0">
      <selection activeCell="B2" sqref="B2:B7"/>
    </sheetView>
  </sheetViews>
  <sheetFormatPr defaultRowHeight="15" x14ac:dyDescent="0.25"/>
  <sheetData>
    <row r="1" spans="1:2" x14ac:dyDescent="0.25">
      <c r="A1" s="13" t="s">
        <v>6</v>
      </c>
      <c r="B1" s="13" t="s">
        <v>7</v>
      </c>
    </row>
    <row r="2" spans="1:2" x14ac:dyDescent="0.25">
      <c r="A2" s="14" t="s">
        <v>8</v>
      </c>
      <c r="B2">
        <v>-230.77</v>
      </c>
    </row>
    <row r="3" spans="1:2" x14ac:dyDescent="0.25">
      <c r="A3" s="14" t="s">
        <v>9</v>
      </c>
      <c r="B3">
        <v>-369.23</v>
      </c>
    </row>
    <row r="4" spans="1:2" x14ac:dyDescent="0.25">
      <c r="A4" s="14" t="s">
        <v>10</v>
      </c>
      <c r="B4">
        <v>-369.23</v>
      </c>
    </row>
    <row r="5" spans="1:2" x14ac:dyDescent="0.25">
      <c r="A5" s="14" t="s">
        <v>11</v>
      </c>
      <c r="B5">
        <v>-369.23</v>
      </c>
    </row>
    <row r="6" spans="1:2" x14ac:dyDescent="0.25">
      <c r="A6" s="14" t="s">
        <v>12</v>
      </c>
      <c r="B6">
        <v>-369.23</v>
      </c>
    </row>
    <row r="7" spans="1:2" x14ac:dyDescent="0.25">
      <c r="A7" s="14" t="s">
        <v>13</v>
      </c>
      <c r="B7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E9BC68-B5E4-4024-8483-17A8B91F8C4B}">
  <dimension ref="A1:B6"/>
  <sheetViews>
    <sheetView workbookViewId="0">
      <selection activeCell="B2" sqref="B2:B6"/>
    </sheetView>
  </sheetViews>
  <sheetFormatPr defaultRowHeight="15" x14ac:dyDescent="0.25"/>
  <sheetData>
    <row r="1" spans="1:2" x14ac:dyDescent="0.25">
      <c r="A1" s="1" t="s">
        <v>0</v>
      </c>
      <c r="B1" s="1" t="s">
        <v>1</v>
      </c>
    </row>
    <row r="2" spans="1:2" x14ac:dyDescent="0.25">
      <c r="A2" s="15" t="s">
        <v>8</v>
      </c>
      <c r="B2">
        <v>-369.23</v>
      </c>
    </row>
    <row r="3" spans="1:2" x14ac:dyDescent="0.25">
      <c r="A3" s="15" t="s">
        <v>9</v>
      </c>
      <c r="B3">
        <v>-369.23</v>
      </c>
    </row>
    <row r="4" spans="1:2" x14ac:dyDescent="0.25">
      <c r="A4" s="15" t="s">
        <v>10</v>
      </c>
      <c r="B4">
        <v>-369.23</v>
      </c>
    </row>
    <row r="5" spans="1:2" x14ac:dyDescent="0.25">
      <c r="A5" s="15" t="s">
        <v>11</v>
      </c>
      <c r="B5">
        <v>-369.23</v>
      </c>
    </row>
    <row r="6" spans="1:2" x14ac:dyDescent="0.25">
      <c r="A6" s="15" t="s">
        <v>12</v>
      </c>
      <c r="B6">
        <v>-369.23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5489E5-346E-4496-B4C5-2F20142A326C}">
  <dimension ref="A1:B7"/>
  <sheetViews>
    <sheetView workbookViewId="0">
      <selection activeCell="B8" sqref="B8"/>
    </sheetView>
  </sheetViews>
  <sheetFormatPr defaultRowHeight="15" x14ac:dyDescent="0.25"/>
  <sheetData>
    <row r="1" spans="1:2" x14ac:dyDescent="0.25">
      <c r="A1" s="17" t="s">
        <v>6</v>
      </c>
      <c r="B1" s="17" t="s">
        <v>7</v>
      </c>
    </row>
    <row r="2" spans="1:2" x14ac:dyDescent="0.25">
      <c r="A2" s="18" t="s">
        <v>8</v>
      </c>
      <c r="B2" s="19">
        <v>-369.23</v>
      </c>
    </row>
    <row r="3" spans="1:2" x14ac:dyDescent="0.25">
      <c r="A3" s="18" t="s">
        <v>9</v>
      </c>
      <c r="B3" s="19">
        <v>-369.23</v>
      </c>
    </row>
    <row r="4" spans="1:2" x14ac:dyDescent="0.25">
      <c r="A4" s="18" t="s">
        <v>10</v>
      </c>
      <c r="B4" s="19">
        <v>-369.23</v>
      </c>
    </row>
    <row r="5" spans="1:2" x14ac:dyDescent="0.25">
      <c r="A5" s="18" t="s">
        <v>11</v>
      </c>
      <c r="B5" s="19">
        <v>-369.23</v>
      </c>
    </row>
    <row r="6" spans="1:2" x14ac:dyDescent="0.25">
      <c r="A6" s="18" t="s">
        <v>12</v>
      </c>
      <c r="B6" s="19">
        <v>-369.23</v>
      </c>
    </row>
    <row r="7" spans="1:2" x14ac:dyDescent="0.25">
      <c r="A7" s="18" t="s">
        <v>13</v>
      </c>
      <c r="B7" s="1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Commissions</vt:lpstr>
      <vt:lpstr>Unpaid</vt:lpstr>
      <vt:lpstr>W1</vt:lpstr>
      <vt:lpstr>W2</vt:lpstr>
      <vt:lpstr>W3</vt:lpstr>
      <vt:lpstr>W4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Vincent Gelardi</dc:creator>
  <cp:lastModifiedBy>Vincent Gelardi</cp:lastModifiedBy>
  <dcterms:created xsi:type="dcterms:W3CDTF">2025-12-29T19:50:09Z</dcterms:created>
  <dcterms:modified xsi:type="dcterms:W3CDTF">2026-01-13T18:18:33Z</dcterms:modified>
</cp:coreProperties>
</file>