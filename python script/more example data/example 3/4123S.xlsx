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\Downloads\"/>
    </mc:Choice>
  </mc:AlternateContent>
  <xr:revisionPtr revIDLastSave="0" documentId="8_{C5B50B93-035A-4613-B2C1-617918BFD0EF}" xr6:coauthVersionLast="47" xr6:coauthVersionMax="47" xr10:uidLastSave="{00000000-0000-0000-0000-000000000000}"/>
  <bookViews>
    <workbookView xWindow="-120" yWindow="-120" windowWidth="29040" windowHeight="15840" xr2:uid="{4FA856FB-A981-4240-BF0B-DC24CFC7FB80}"/>
  </bookViews>
  <sheets>
    <sheet name="Commissions" sheetId="1" r:id="rId1"/>
    <sheet name="Unpaid" sheetId="2" r:id="rId2"/>
    <sheet name="12.5" sheetId="4" r:id="rId3"/>
    <sheet name="12.22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 a="1"/>
  <c r="O6" i="1" s="1"/>
  <c r="O5" i="1" a="1"/>
  <c r="O5" i="1" s="1"/>
  <c r="L2" i="1" a="1"/>
  <c r="L2" i="1" s="1"/>
  <c r="Q6" i="1" l="1"/>
  <c r="P6" i="1"/>
  <c r="P5" i="1"/>
  <c r="P7" i="1" s="1"/>
  <c r="Q5" i="1"/>
  <c r="Q7" i="1" s="1"/>
  <c r="I3" i="1" a="1"/>
  <c r="I3" i="1" s="1"/>
  <c r="I4" i="1" a="1"/>
  <c r="I4" i="1"/>
  <c r="I5" i="1" a="1"/>
  <c r="I5" i="1" s="1"/>
  <c r="I6" i="1" a="1"/>
  <c r="I6" i="1"/>
  <c r="I7" i="1" a="1"/>
  <c r="I7" i="1" s="1"/>
  <c r="I8" i="1" a="1"/>
  <c r="I8" i="1"/>
  <c r="I9" i="1" a="1"/>
  <c r="I9" i="1" s="1"/>
  <c r="I10" i="1" a="1"/>
  <c r="I10" i="1"/>
  <c r="I11" i="1" a="1"/>
  <c r="I11" i="1" s="1"/>
  <c r="I12" i="1" a="1"/>
  <c r="I12" i="1"/>
  <c r="I13" i="1" a="1"/>
  <c r="I13" i="1" s="1"/>
  <c r="I14" i="1" a="1"/>
  <c r="I14" i="1"/>
  <c r="I15" i="1" a="1"/>
  <c r="I15" i="1" s="1"/>
  <c r="I16" i="1" a="1"/>
  <c r="I16" i="1"/>
  <c r="I17" i="1" a="1"/>
  <c r="I17" i="1" s="1"/>
  <c r="I18" i="1" a="1"/>
  <c r="I18" i="1"/>
  <c r="I19" i="1" a="1"/>
  <c r="I19" i="1" s="1"/>
  <c r="I20" i="1" a="1"/>
  <c r="I20" i="1"/>
  <c r="I21" i="1" a="1"/>
  <c r="I21" i="1" s="1"/>
  <c r="I22" i="1" a="1"/>
  <c r="I22" i="1"/>
  <c r="I23" i="1" a="1"/>
  <c r="I23" i="1" s="1"/>
  <c r="I24" i="1" a="1"/>
  <c r="I24" i="1"/>
  <c r="I25" i="1" a="1"/>
  <c r="I25" i="1" s="1"/>
  <c r="I26" i="1" a="1"/>
  <c r="I26" i="1"/>
  <c r="I27" i="1" a="1"/>
  <c r="I27" i="1" s="1"/>
  <c r="I28" i="1" a="1"/>
  <c r="I28" i="1"/>
  <c r="I29" i="1" a="1"/>
  <c r="I29" i="1" s="1"/>
  <c r="I30" i="1" a="1"/>
  <c r="I30" i="1"/>
  <c r="I31" i="1" a="1"/>
  <c r="I31" i="1" s="1"/>
  <c r="I32" i="1" a="1"/>
  <c r="I32" i="1"/>
  <c r="I33" i="1" a="1"/>
  <c r="I33" i="1" s="1"/>
  <c r="I34" i="1" a="1"/>
  <c r="I34" i="1"/>
  <c r="I35" i="1" a="1"/>
  <c r="I35" i="1" s="1"/>
  <c r="I36" i="1" a="1"/>
  <c r="I36" i="1"/>
  <c r="I37" i="1" a="1"/>
  <c r="I37" i="1" s="1"/>
  <c r="I38" i="1" a="1"/>
  <c r="I38" i="1"/>
  <c r="I39" i="1" a="1"/>
  <c r="I39" i="1" s="1"/>
  <c r="I40" i="1" a="1"/>
  <c r="I40" i="1"/>
  <c r="I41" i="1" a="1"/>
  <c r="I41" i="1" s="1"/>
  <c r="I42" i="1" a="1"/>
  <c r="I42" i="1"/>
  <c r="I43" i="1" a="1"/>
  <c r="I43" i="1" s="1"/>
  <c r="I44" i="1" a="1"/>
  <c r="I44" i="1"/>
  <c r="I45" i="1" a="1"/>
  <c r="I45" i="1" s="1"/>
  <c r="I46" i="1" a="1"/>
  <c r="I46" i="1"/>
  <c r="I47" i="1" a="1"/>
  <c r="I47" i="1" s="1"/>
  <c r="I2" i="1" a="1"/>
  <c r="I2" i="1"/>
  <c r="J2" i="1" s="1" a="1"/>
  <c r="J2" i="1" s="1"/>
  <c r="D48" i="1"/>
  <c r="E48" i="1"/>
  <c r="F48" i="1"/>
  <c r="B31" i="2"/>
  <c r="C31" i="2" s="1" a="1"/>
  <c r="C31" i="2" s="1"/>
  <c r="H31" i="2"/>
  <c r="I31" i="2" s="1" a="1"/>
  <c r="I31" i="2" s="1"/>
  <c r="B30" i="2"/>
  <c r="C30" i="2" s="1" a="1"/>
  <c r="C30" i="2" s="1"/>
  <c r="H30" i="2"/>
  <c r="I30" i="2" s="1" a="1"/>
  <c r="I30" i="2" s="1"/>
  <c r="B28" i="2"/>
  <c r="C28" i="2" s="1" a="1"/>
  <c r="C28" i="2" s="1"/>
  <c r="H28" i="2"/>
  <c r="I28" i="2" s="1" a="1"/>
  <c r="I28" i="2" s="1"/>
  <c r="B29" i="2"/>
  <c r="C29" i="2" s="1" a="1"/>
  <c r="C29" i="2" s="1"/>
  <c r="H29" i="2"/>
  <c r="I29" i="2" s="1" a="1"/>
  <c r="I29" i="2" s="1"/>
  <c r="H27" i="2"/>
  <c r="B27" i="2"/>
  <c r="C27" i="2" s="1" a="1"/>
  <c r="C27" i="2" s="1"/>
  <c r="E27" i="2" s="1" a="1"/>
  <c r="E27" i="2" s="1"/>
  <c r="H26" i="2"/>
  <c r="B26" i="2"/>
  <c r="H25" i="2"/>
  <c r="B25" i="2"/>
  <c r="C25" i="2" s="1" a="1"/>
  <c r="C25" i="2" s="1"/>
  <c r="E25" i="2" s="1" a="1"/>
  <c r="E25" i="2" s="1"/>
  <c r="H24" i="2"/>
  <c r="B24" i="2"/>
  <c r="H23" i="2"/>
  <c r="B23" i="2"/>
  <c r="C23" i="2" s="1" a="1"/>
  <c r="C23" i="2" s="1"/>
  <c r="E23" i="2" s="1" a="1"/>
  <c r="E23" i="2" s="1"/>
  <c r="H22" i="2"/>
  <c r="B22" i="2"/>
  <c r="C22" i="2" s="1" a="1"/>
  <c r="C22" i="2" s="1"/>
  <c r="E22" i="2" s="1" a="1"/>
  <c r="E22" i="2" s="1"/>
  <c r="H21" i="2"/>
  <c r="C21" i="2" a="1"/>
  <c r="C21" i="2" s="1"/>
  <c r="E21" i="2" s="1" a="1"/>
  <c r="E21" i="2" s="1"/>
  <c r="B21" i="2"/>
  <c r="H20" i="2"/>
  <c r="B20" i="2"/>
  <c r="C20" i="2" s="1" a="1"/>
  <c r="C20" i="2" s="1"/>
  <c r="E20" i="2" s="1" a="1"/>
  <c r="E20" i="2" s="1"/>
  <c r="H19" i="2"/>
  <c r="B19" i="2"/>
  <c r="C19" i="2" s="1" a="1"/>
  <c r="C19" i="2" s="1"/>
  <c r="E19" i="2" s="1" a="1"/>
  <c r="E19" i="2" s="1"/>
  <c r="H18" i="2"/>
  <c r="B18" i="2"/>
  <c r="C18" i="2" s="1" a="1"/>
  <c r="C18" i="2" s="1"/>
  <c r="E18" i="2" s="1" a="1"/>
  <c r="E18" i="2" s="1"/>
  <c r="H17" i="2"/>
  <c r="B17" i="2"/>
  <c r="C17" i="2" s="1" a="1"/>
  <c r="C17" i="2" s="1"/>
  <c r="E17" i="2" s="1" a="1"/>
  <c r="E17" i="2" s="1"/>
  <c r="H16" i="2"/>
  <c r="B16" i="2"/>
  <c r="C16" i="2" s="1" a="1"/>
  <c r="C16" i="2" s="1"/>
  <c r="E16" i="2" s="1" a="1"/>
  <c r="E16" i="2" s="1"/>
  <c r="H15" i="2"/>
  <c r="B15" i="2"/>
  <c r="C15" i="2" s="1" a="1"/>
  <c r="C15" i="2" s="1"/>
  <c r="E15" i="2" s="1" a="1"/>
  <c r="E15" i="2" s="1"/>
  <c r="H14" i="2"/>
  <c r="B14" i="2"/>
  <c r="C14" i="2" s="1" a="1"/>
  <c r="C14" i="2" s="1"/>
  <c r="E14" i="2" s="1" a="1"/>
  <c r="E14" i="2" s="1"/>
  <c r="H13" i="2"/>
  <c r="B13" i="2"/>
  <c r="C13" i="2" s="1" a="1"/>
  <c r="C13" i="2" s="1"/>
  <c r="E13" i="2" s="1" a="1"/>
  <c r="E13" i="2" s="1"/>
  <c r="H12" i="2"/>
  <c r="B12" i="2"/>
  <c r="C12" i="2" s="1" a="1"/>
  <c r="C12" i="2" s="1"/>
  <c r="E12" i="2" s="1" a="1"/>
  <c r="E12" i="2" s="1"/>
  <c r="H11" i="2"/>
  <c r="B11" i="2"/>
  <c r="C11" i="2" s="1" a="1"/>
  <c r="C11" i="2" s="1"/>
  <c r="E11" i="2" s="1" a="1"/>
  <c r="E11" i="2" s="1"/>
  <c r="H10" i="2"/>
  <c r="B10" i="2"/>
  <c r="C10" i="2" s="1" a="1"/>
  <c r="C10" i="2" s="1"/>
  <c r="E10" i="2" s="1" a="1"/>
  <c r="E10" i="2" s="1"/>
  <c r="H9" i="2"/>
  <c r="B9" i="2"/>
  <c r="C9" i="2" s="1" a="1"/>
  <c r="C9" i="2" s="1"/>
  <c r="E9" i="2" s="1" a="1"/>
  <c r="E9" i="2" s="1"/>
  <c r="H8" i="2"/>
  <c r="B8" i="2"/>
  <c r="C8" i="2" s="1" a="1"/>
  <c r="C8" i="2" s="1"/>
  <c r="E8" i="2" s="1" a="1"/>
  <c r="E8" i="2" s="1"/>
  <c r="H7" i="2"/>
  <c r="B7" i="2"/>
  <c r="C7" i="2" s="1" a="1"/>
  <c r="C7" i="2" s="1"/>
  <c r="E7" i="2" s="1" a="1"/>
  <c r="E7" i="2" s="1"/>
  <c r="H6" i="2"/>
  <c r="I6" i="2" s="1" a="1"/>
  <c r="I6" i="2" s="1"/>
  <c r="B6" i="2"/>
  <c r="C6" i="2" s="1" a="1"/>
  <c r="C6" i="2" s="1"/>
  <c r="H5" i="2"/>
  <c r="B5" i="2"/>
  <c r="C5" i="2" s="1" a="1"/>
  <c r="C5" i="2" s="1"/>
  <c r="H4" i="2"/>
  <c r="B4" i="2"/>
  <c r="C4" i="2" s="1" a="1"/>
  <c r="C4" i="2" s="1"/>
  <c r="H3" i="2"/>
  <c r="C3" i="2" a="1"/>
  <c r="C3" i="2" s="1"/>
  <c r="B3" i="2"/>
  <c r="H2" i="2"/>
  <c r="B2" i="2"/>
  <c r="C2" i="2" s="1" a="1"/>
  <c r="C2" i="2" s="1"/>
  <c r="H21" i="1"/>
  <c r="H22" i="1"/>
  <c r="H2" i="1"/>
  <c r="H3" i="1"/>
  <c r="H4" i="1"/>
  <c r="H5" i="1"/>
  <c r="H23" i="1"/>
  <c r="H24" i="1"/>
  <c r="H25" i="1"/>
  <c r="H26" i="1"/>
  <c r="H7" i="1"/>
  <c r="H27" i="1"/>
  <c r="H28" i="1"/>
  <c r="H8" i="1"/>
  <c r="H29" i="1"/>
  <c r="H15" i="1"/>
  <c r="H30" i="1"/>
  <c r="H31" i="1"/>
  <c r="H9" i="1"/>
  <c r="H10" i="1"/>
  <c r="H11" i="1"/>
  <c r="H32" i="1"/>
  <c r="H12" i="1"/>
  <c r="H33" i="1"/>
  <c r="H34" i="1"/>
  <c r="H35" i="1"/>
  <c r="H36" i="1"/>
  <c r="H37" i="1"/>
  <c r="H16" i="1"/>
  <c r="H17" i="1"/>
  <c r="H38" i="1"/>
  <c r="H18" i="1"/>
  <c r="H39" i="1"/>
  <c r="H40" i="1"/>
  <c r="H41" i="1"/>
  <c r="H42" i="1"/>
  <c r="H43" i="1"/>
  <c r="H44" i="1"/>
  <c r="H45" i="1"/>
  <c r="H46" i="1"/>
  <c r="H13" i="1"/>
  <c r="H47" i="1"/>
  <c r="H14" i="1"/>
  <c r="H19" i="1"/>
  <c r="H6" i="1"/>
  <c r="B21" i="1"/>
  <c r="C21" i="1" s="1" a="1"/>
  <c r="C21" i="1" s="1"/>
  <c r="B22" i="1"/>
  <c r="C22" i="1" s="1" a="1"/>
  <c r="C22" i="1" s="1"/>
  <c r="B2" i="1"/>
  <c r="C2" i="1" s="1" a="1"/>
  <c r="C2" i="1" s="1"/>
  <c r="B3" i="1"/>
  <c r="C3" i="1" s="1" a="1"/>
  <c r="C3" i="1" s="1"/>
  <c r="B4" i="1"/>
  <c r="C4" i="1" s="1" a="1"/>
  <c r="C4" i="1" s="1"/>
  <c r="B5" i="1"/>
  <c r="C5" i="1" s="1" a="1"/>
  <c r="C5" i="1" s="1"/>
  <c r="B23" i="1"/>
  <c r="C23" i="1" s="1" a="1"/>
  <c r="C23" i="1" s="1"/>
  <c r="B24" i="1"/>
  <c r="C24" i="1" s="1" a="1"/>
  <c r="C24" i="1" s="1"/>
  <c r="B25" i="1"/>
  <c r="C25" i="1" s="1" a="1"/>
  <c r="C25" i="1" s="1"/>
  <c r="B26" i="1"/>
  <c r="C26" i="1" s="1" a="1"/>
  <c r="C26" i="1" s="1"/>
  <c r="B7" i="1"/>
  <c r="C7" i="1" s="1" a="1"/>
  <c r="C7" i="1" s="1"/>
  <c r="B27" i="1"/>
  <c r="C27" i="1" s="1" a="1"/>
  <c r="C27" i="1" s="1"/>
  <c r="B28" i="1"/>
  <c r="C28" i="1" s="1" a="1"/>
  <c r="C28" i="1" s="1"/>
  <c r="B8" i="1"/>
  <c r="C8" i="1" s="1" a="1"/>
  <c r="C8" i="1" s="1"/>
  <c r="B29" i="1"/>
  <c r="C29" i="1" s="1" a="1"/>
  <c r="C29" i="1" s="1"/>
  <c r="B15" i="1"/>
  <c r="C15" i="1" s="1" a="1"/>
  <c r="C15" i="1" s="1"/>
  <c r="B30" i="1"/>
  <c r="C30" i="1" s="1" a="1"/>
  <c r="C30" i="1" s="1"/>
  <c r="B31" i="1"/>
  <c r="C31" i="1" s="1" a="1"/>
  <c r="C31" i="1" s="1"/>
  <c r="B9" i="1"/>
  <c r="C9" i="1" s="1" a="1"/>
  <c r="C9" i="1" s="1"/>
  <c r="B10" i="1"/>
  <c r="C10" i="1" s="1" a="1"/>
  <c r="C10" i="1" s="1"/>
  <c r="B11" i="1"/>
  <c r="C11" i="1" s="1" a="1"/>
  <c r="C11" i="1" s="1"/>
  <c r="B32" i="1"/>
  <c r="C32" i="1" s="1" a="1"/>
  <c r="C32" i="1" s="1"/>
  <c r="B12" i="1"/>
  <c r="C12" i="1" s="1" a="1"/>
  <c r="C12" i="1" s="1"/>
  <c r="B33" i="1"/>
  <c r="C33" i="1" s="1" a="1"/>
  <c r="C33" i="1" s="1"/>
  <c r="B34" i="1"/>
  <c r="C34" i="1" s="1" a="1"/>
  <c r="C34" i="1" s="1"/>
  <c r="B35" i="1"/>
  <c r="C35" i="1" s="1" a="1"/>
  <c r="C35" i="1" s="1"/>
  <c r="B36" i="1"/>
  <c r="C36" i="1" s="1" a="1"/>
  <c r="C36" i="1" s="1"/>
  <c r="B37" i="1"/>
  <c r="C37" i="1" s="1" a="1"/>
  <c r="C37" i="1" s="1"/>
  <c r="B16" i="1"/>
  <c r="C16" i="1" s="1" a="1"/>
  <c r="C16" i="1" s="1"/>
  <c r="B17" i="1"/>
  <c r="C17" i="1" s="1" a="1"/>
  <c r="C17" i="1" s="1"/>
  <c r="B38" i="1"/>
  <c r="C38" i="1" s="1" a="1"/>
  <c r="C38" i="1" s="1"/>
  <c r="B18" i="1"/>
  <c r="C18" i="1" s="1" a="1"/>
  <c r="C18" i="1" s="1"/>
  <c r="B39" i="1"/>
  <c r="C39" i="1" s="1" a="1"/>
  <c r="C39" i="1" s="1"/>
  <c r="B40" i="1"/>
  <c r="C40" i="1" s="1" a="1"/>
  <c r="C40" i="1" s="1"/>
  <c r="B41" i="1"/>
  <c r="C41" i="1" s="1" a="1"/>
  <c r="C41" i="1" s="1"/>
  <c r="B42" i="1"/>
  <c r="C42" i="1" s="1" a="1"/>
  <c r="C42" i="1" s="1"/>
  <c r="B43" i="1"/>
  <c r="C43" i="1" s="1" a="1"/>
  <c r="C43" i="1" s="1"/>
  <c r="B44" i="1"/>
  <c r="C44" i="1" s="1" a="1"/>
  <c r="C44" i="1" s="1"/>
  <c r="B45" i="1"/>
  <c r="C45" i="1" s="1" a="1"/>
  <c r="C45" i="1" s="1"/>
  <c r="B46" i="1"/>
  <c r="C46" i="1" s="1" a="1"/>
  <c r="C46" i="1" s="1"/>
  <c r="B13" i="1"/>
  <c r="C13" i="1" s="1" a="1"/>
  <c r="C13" i="1" s="1"/>
  <c r="B47" i="1"/>
  <c r="C47" i="1" s="1" a="1"/>
  <c r="C47" i="1" s="1"/>
  <c r="D47" i="1" s="1" a="1"/>
  <c r="D47" i="1" s="1"/>
  <c r="B14" i="1"/>
  <c r="C14" i="1" s="1" a="1"/>
  <c r="C14" i="1" s="1"/>
  <c r="B19" i="1"/>
  <c r="C19" i="1" s="1" a="1"/>
  <c r="C19" i="1" s="1"/>
  <c r="B6" i="1"/>
  <c r="C6" i="1" s="1" a="1"/>
  <c r="C6" i="1" s="1"/>
  <c r="H20" i="1"/>
  <c r="B20" i="1"/>
  <c r="C20" i="1" s="1" a="1"/>
  <c r="C20" i="1" s="1"/>
  <c r="R7" i="1" l="1"/>
  <c r="J31" i="2" a="1"/>
  <c r="J31" i="2" s="1"/>
  <c r="L31" i="2" a="1"/>
  <c r="L31" i="2" s="1"/>
  <c r="K31" i="2" a="1"/>
  <c r="K31" i="2" s="1"/>
  <c r="E31" i="2" a="1"/>
  <c r="E31" i="2" s="1"/>
  <c r="D31" i="2" a="1"/>
  <c r="D31" i="2" s="1"/>
  <c r="F31" i="2" a="1"/>
  <c r="F31" i="2" s="1"/>
  <c r="I5" i="2" a="1"/>
  <c r="I5" i="2" s="1"/>
  <c r="K5" i="2" s="1" a="1"/>
  <c r="K5" i="2" s="1"/>
  <c r="J30" i="2" a="1"/>
  <c r="J30" i="2" s="1"/>
  <c r="L30" i="2" a="1"/>
  <c r="L30" i="2" s="1"/>
  <c r="K30" i="2" a="1"/>
  <c r="K30" i="2" s="1"/>
  <c r="E30" i="2" a="1"/>
  <c r="E30" i="2" s="1"/>
  <c r="F30" i="2" a="1"/>
  <c r="F30" i="2" s="1"/>
  <c r="D30" i="2" a="1"/>
  <c r="D30" i="2" s="1"/>
  <c r="I2" i="2" a="1"/>
  <c r="I2" i="2" s="1"/>
  <c r="L15" i="1" a="1"/>
  <c r="L15" i="1" s="1"/>
  <c r="I3" i="2" a="1"/>
  <c r="I3" i="2" s="1"/>
  <c r="L3" i="2" s="1" a="1"/>
  <c r="L3" i="2" s="1"/>
  <c r="I4" i="2" a="1"/>
  <c r="I4" i="2" s="1"/>
  <c r="J38" i="1" a="1"/>
  <c r="J38" i="1" s="1"/>
  <c r="L36" i="1" a="1"/>
  <c r="L36" i="1" s="1"/>
  <c r="L12" i="1" a="1"/>
  <c r="L12" i="1" s="1"/>
  <c r="D29" i="2" a="1"/>
  <c r="D29" i="2" s="1"/>
  <c r="F29" i="2" a="1"/>
  <c r="F29" i="2" s="1"/>
  <c r="E29" i="2" a="1"/>
  <c r="E29" i="2" s="1"/>
  <c r="J28" i="2" a="1"/>
  <c r="J28" i="2" s="1"/>
  <c r="L28" i="2" a="1"/>
  <c r="L28" i="2" s="1"/>
  <c r="K28" i="2" a="1"/>
  <c r="K28" i="2" s="1"/>
  <c r="K29" i="2" a="1"/>
  <c r="K29" i="2" s="1"/>
  <c r="J29" i="2" a="1"/>
  <c r="J29" i="2" s="1"/>
  <c r="L29" i="2" a="1"/>
  <c r="L29" i="2" s="1"/>
  <c r="E28" i="2" a="1"/>
  <c r="E28" i="2" s="1"/>
  <c r="D28" i="2" a="1"/>
  <c r="D28" i="2" s="1"/>
  <c r="F28" i="2" a="1"/>
  <c r="F28" i="2" s="1"/>
  <c r="L11" i="1" a="1"/>
  <c r="L11" i="1" s="1"/>
  <c r="I9" i="2" a="1"/>
  <c r="I9" i="2" s="1"/>
  <c r="J9" i="2" s="1" a="1"/>
  <c r="J9" i="2" s="1"/>
  <c r="I13" i="2" a="1"/>
  <c r="I13" i="2" s="1"/>
  <c r="K13" i="2" s="1" a="1"/>
  <c r="K13" i="2" s="1"/>
  <c r="I17" i="2" a="1"/>
  <c r="I17" i="2" s="1"/>
  <c r="L17" i="2" s="1" a="1"/>
  <c r="L17" i="2" s="1"/>
  <c r="I21" i="2" a="1"/>
  <c r="I21" i="2" s="1"/>
  <c r="L21" i="2" s="1" a="1"/>
  <c r="L21" i="2" s="1"/>
  <c r="I25" i="2" a="1"/>
  <c r="I25" i="2" s="1"/>
  <c r="J25" i="2" s="1" a="1"/>
  <c r="J25" i="2" s="1"/>
  <c r="J47" i="1" a="1"/>
  <c r="J47" i="1" s="1"/>
  <c r="I7" i="2" a="1"/>
  <c r="I7" i="2" s="1"/>
  <c r="L7" i="2" s="1" a="1"/>
  <c r="L7" i="2" s="1"/>
  <c r="I11" i="2" a="1"/>
  <c r="I11" i="2" s="1"/>
  <c r="L11" i="2" s="1" a="1"/>
  <c r="L11" i="2" s="1"/>
  <c r="I15" i="2" a="1"/>
  <c r="I15" i="2" s="1"/>
  <c r="I19" i="2" a="1"/>
  <c r="I19" i="2" s="1"/>
  <c r="J19" i="2" s="1" a="1"/>
  <c r="J19" i="2" s="1"/>
  <c r="I23" i="2" a="1"/>
  <c r="I23" i="2" s="1"/>
  <c r="L23" i="2" s="1" a="1"/>
  <c r="L23" i="2" s="1"/>
  <c r="I27" i="2" a="1"/>
  <c r="I27" i="2" s="1"/>
  <c r="L27" i="2" s="1" a="1"/>
  <c r="L27" i="2" s="1"/>
  <c r="E3" i="2" a="1"/>
  <c r="E3" i="2" s="1"/>
  <c r="F3" i="2" a="1"/>
  <c r="F3" i="2" s="1"/>
  <c r="D3" i="2" a="1"/>
  <c r="D3" i="2" s="1"/>
  <c r="K4" i="2" a="1"/>
  <c r="K4" i="2" s="1"/>
  <c r="L4" i="2" a="1"/>
  <c r="L4" i="2" s="1"/>
  <c r="J4" i="2" a="1"/>
  <c r="J4" i="2" s="1"/>
  <c r="L5" i="2" a="1"/>
  <c r="L5" i="2" s="1"/>
  <c r="J5" i="2" a="1"/>
  <c r="J5" i="2" s="1"/>
  <c r="F2" i="2" a="1"/>
  <c r="F2" i="2" s="1"/>
  <c r="D2" i="2" a="1"/>
  <c r="D2" i="2" s="1"/>
  <c r="E2" i="2" a="1"/>
  <c r="E2" i="2" s="1"/>
  <c r="F6" i="2" a="1"/>
  <c r="F6" i="2" s="1"/>
  <c r="D6" i="2" a="1"/>
  <c r="D6" i="2" s="1"/>
  <c r="E6" i="2" a="1"/>
  <c r="E6" i="2" s="1"/>
  <c r="L9" i="2" a="1"/>
  <c r="L9" i="2" s="1"/>
  <c r="J13" i="2" a="1"/>
  <c r="J13" i="2" s="1"/>
  <c r="K17" i="2" a="1"/>
  <c r="K17" i="2" s="1"/>
  <c r="K21" i="2" a="1"/>
  <c r="K21" i="2" s="1"/>
  <c r="L25" i="2" a="1"/>
  <c r="L25" i="2" s="1"/>
  <c r="K2" i="2" a="1"/>
  <c r="K2" i="2" s="1"/>
  <c r="L2" i="2" a="1"/>
  <c r="L2" i="2" s="1"/>
  <c r="J2" i="2" a="1"/>
  <c r="J2" i="2" s="1"/>
  <c r="J3" i="2" a="1"/>
  <c r="J3" i="2" s="1"/>
  <c r="K3" i="2" a="1"/>
  <c r="K3" i="2" s="1"/>
  <c r="E5" i="2" a="1"/>
  <c r="E5" i="2" s="1"/>
  <c r="F5" i="2" a="1"/>
  <c r="F5" i="2" s="1"/>
  <c r="D5" i="2" a="1"/>
  <c r="D5" i="2" s="1"/>
  <c r="L6" i="2" a="1"/>
  <c r="L6" i="2" s="1"/>
  <c r="K6" i="2" a="1"/>
  <c r="K6" i="2" s="1"/>
  <c r="J6" i="2" a="1"/>
  <c r="J6" i="2" s="1"/>
  <c r="F4" i="2" a="1"/>
  <c r="F4" i="2" s="1"/>
  <c r="D4" i="2" a="1"/>
  <c r="D4" i="2" s="1"/>
  <c r="E4" i="2" a="1"/>
  <c r="E4" i="2" s="1"/>
  <c r="J7" i="2" a="1"/>
  <c r="J7" i="2" s="1"/>
  <c r="K7" i="2" a="1"/>
  <c r="K7" i="2" s="1"/>
  <c r="L15" i="2" a="1"/>
  <c r="L15" i="2" s="1"/>
  <c r="J15" i="2" a="1"/>
  <c r="J15" i="2" s="1"/>
  <c r="K15" i="2" a="1"/>
  <c r="K15" i="2" s="1"/>
  <c r="L19" i="2" a="1"/>
  <c r="L19" i="2" s="1"/>
  <c r="K23" i="2" a="1"/>
  <c r="K23" i="2" s="1"/>
  <c r="I26" i="2" a="1"/>
  <c r="I26" i="2" s="1"/>
  <c r="C26" i="2" a="1"/>
  <c r="C26" i="2" s="1"/>
  <c r="L29" i="1" a="1"/>
  <c r="L29" i="1" s="1"/>
  <c r="L7" i="1" a="1"/>
  <c r="L7" i="1" s="1"/>
  <c r="K24" i="1" a="1"/>
  <c r="K24" i="1" s="1"/>
  <c r="K3" i="1" a="1"/>
  <c r="K3" i="1" s="1"/>
  <c r="F7" i="2" a="1"/>
  <c r="F7" i="2" s="1"/>
  <c r="D7" i="2" a="1"/>
  <c r="D7" i="2" s="1"/>
  <c r="D8" i="2" a="1"/>
  <c r="D8" i="2" s="1"/>
  <c r="D10" i="2" a="1"/>
  <c r="D10" i="2" s="1"/>
  <c r="D12" i="2" a="1"/>
  <c r="D12" i="2" s="1"/>
  <c r="D14" i="2" a="1"/>
  <c r="D14" i="2" s="1"/>
  <c r="D16" i="2" a="1"/>
  <c r="D16" i="2" s="1"/>
  <c r="D18" i="2" a="1"/>
  <c r="D18" i="2" s="1"/>
  <c r="D20" i="2" a="1"/>
  <c r="D20" i="2" s="1"/>
  <c r="D22" i="2" a="1"/>
  <c r="D22" i="2" s="1"/>
  <c r="L20" i="1" a="1"/>
  <c r="L20" i="1" s="1"/>
  <c r="L46" i="1" a="1"/>
  <c r="L46" i="1" s="1"/>
  <c r="K39" i="1" a="1"/>
  <c r="K39" i="1" s="1"/>
  <c r="J16" i="1" a="1"/>
  <c r="J16" i="1" s="1"/>
  <c r="L34" i="1" a="1"/>
  <c r="L34" i="1" s="1"/>
  <c r="L31" i="1" a="1"/>
  <c r="L31" i="1" s="1"/>
  <c r="K23" i="1" a="1"/>
  <c r="K23" i="1" s="1"/>
  <c r="K2" i="1" a="1"/>
  <c r="K2" i="1" s="1"/>
  <c r="F8" i="2" a="1"/>
  <c r="F8" i="2" s="1"/>
  <c r="F10" i="2" a="1"/>
  <c r="F10" i="2" s="1"/>
  <c r="F12" i="2" a="1"/>
  <c r="F12" i="2" s="1"/>
  <c r="F14" i="2" a="1"/>
  <c r="F14" i="2" s="1"/>
  <c r="F16" i="2" a="1"/>
  <c r="F16" i="2" s="1"/>
  <c r="F18" i="2" a="1"/>
  <c r="F18" i="2" s="1"/>
  <c r="F20" i="2" a="1"/>
  <c r="F20" i="2" s="1"/>
  <c r="F22" i="2" a="1"/>
  <c r="F22" i="2" s="1"/>
  <c r="I24" i="2" a="1"/>
  <c r="I24" i="2" s="1"/>
  <c r="C24" i="2" a="1"/>
  <c r="C24" i="2" s="1"/>
  <c r="L28" i="1" a="1"/>
  <c r="L28" i="1" s="1"/>
  <c r="K25" i="1" a="1"/>
  <c r="K25" i="1" s="1"/>
  <c r="I8" i="2" a="1"/>
  <c r="I8" i="2" s="1"/>
  <c r="F9" i="2" a="1"/>
  <c r="F9" i="2" s="1"/>
  <c r="D9" i="2" a="1"/>
  <c r="D9" i="2" s="1"/>
  <c r="I10" i="2" a="1"/>
  <c r="I10" i="2" s="1"/>
  <c r="F11" i="2" a="1"/>
  <c r="F11" i="2" s="1"/>
  <c r="D11" i="2" a="1"/>
  <c r="D11" i="2" s="1"/>
  <c r="I12" i="2" a="1"/>
  <c r="I12" i="2" s="1"/>
  <c r="F13" i="2" a="1"/>
  <c r="F13" i="2" s="1"/>
  <c r="D13" i="2" a="1"/>
  <c r="D13" i="2" s="1"/>
  <c r="I14" i="2" a="1"/>
  <c r="I14" i="2" s="1"/>
  <c r="F15" i="2" a="1"/>
  <c r="F15" i="2" s="1"/>
  <c r="D15" i="2" a="1"/>
  <c r="D15" i="2" s="1"/>
  <c r="I16" i="2" a="1"/>
  <c r="I16" i="2" s="1"/>
  <c r="F17" i="2" a="1"/>
  <c r="F17" i="2" s="1"/>
  <c r="D17" i="2" a="1"/>
  <c r="D17" i="2" s="1"/>
  <c r="I18" i="2" a="1"/>
  <c r="I18" i="2" s="1"/>
  <c r="F19" i="2" a="1"/>
  <c r="F19" i="2" s="1"/>
  <c r="D19" i="2" a="1"/>
  <c r="D19" i="2" s="1"/>
  <c r="I20" i="2" a="1"/>
  <c r="I20" i="2" s="1"/>
  <c r="F21" i="2" a="1"/>
  <c r="F21" i="2" s="1"/>
  <c r="D21" i="2" a="1"/>
  <c r="D21" i="2" s="1"/>
  <c r="I22" i="2" a="1"/>
  <c r="I22" i="2" s="1"/>
  <c r="F23" i="2" a="1"/>
  <c r="F23" i="2" s="1"/>
  <c r="D23" i="2" a="1"/>
  <c r="D23" i="2" s="1"/>
  <c r="F25" i="2" a="1"/>
  <c r="F25" i="2" s="1"/>
  <c r="D25" i="2" a="1"/>
  <c r="D25" i="2" s="1"/>
  <c r="F27" i="2" a="1"/>
  <c r="F27" i="2" s="1"/>
  <c r="D27" i="2" a="1"/>
  <c r="D27" i="2" s="1"/>
  <c r="E20" i="1" a="1"/>
  <c r="E20" i="1" s="1"/>
  <c r="D20" i="1" a="1"/>
  <c r="D20" i="1" s="1"/>
  <c r="F20" i="1" a="1"/>
  <c r="F20" i="1" s="1"/>
  <c r="E46" i="1" a="1"/>
  <c r="E46" i="1" s="1"/>
  <c r="F46" i="1" a="1"/>
  <c r="F46" i="1" s="1"/>
  <c r="D46" i="1" a="1"/>
  <c r="D46" i="1" s="1"/>
  <c r="D41" i="1" a="1"/>
  <c r="D41" i="1" s="1"/>
  <c r="E41" i="1" a="1"/>
  <c r="E41" i="1" s="1"/>
  <c r="F41" i="1" a="1"/>
  <c r="F41" i="1" s="1"/>
  <c r="D38" i="1" a="1"/>
  <c r="D38" i="1" s="1"/>
  <c r="E38" i="1" a="1"/>
  <c r="E38" i="1" s="1"/>
  <c r="F38" i="1" a="1"/>
  <c r="F38" i="1" s="1"/>
  <c r="F36" i="1" a="1"/>
  <c r="F36" i="1" s="1"/>
  <c r="D36" i="1" a="1"/>
  <c r="D36" i="1" s="1"/>
  <c r="E36" i="1" a="1"/>
  <c r="E36" i="1" s="1"/>
  <c r="D10" i="1" a="1"/>
  <c r="D10" i="1" s="1"/>
  <c r="E10" i="1" a="1"/>
  <c r="E10" i="1" s="1"/>
  <c r="F10" i="1" a="1"/>
  <c r="F10" i="1" s="1"/>
  <c r="F15" i="1" a="1"/>
  <c r="F15" i="1" s="1"/>
  <c r="D15" i="1" a="1"/>
  <c r="D15" i="1" s="1"/>
  <c r="E15" i="1" a="1"/>
  <c r="E15" i="1" s="1"/>
  <c r="D28" i="1" a="1"/>
  <c r="D28" i="1" s="1"/>
  <c r="E28" i="1" a="1"/>
  <c r="E28" i="1" s="1"/>
  <c r="F28" i="1" a="1"/>
  <c r="F28" i="1" s="1"/>
  <c r="D4" i="1" a="1"/>
  <c r="D4" i="1" s="1"/>
  <c r="E4" i="1" a="1"/>
  <c r="E4" i="1" s="1"/>
  <c r="F4" i="1" a="1"/>
  <c r="F4" i="1" s="1"/>
  <c r="F21" i="1" a="1"/>
  <c r="F21" i="1" s="1"/>
  <c r="D21" i="1" a="1"/>
  <c r="D21" i="1" s="1"/>
  <c r="E21" i="1" a="1"/>
  <c r="E21" i="1" s="1"/>
  <c r="D14" i="1" a="1"/>
  <c r="D14" i="1" s="1"/>
  <c r="E14" i="1" a="1"/>
  <c r="E14" i="1" s="1"/>
  <c r="F14" i="1" a="1"/>
  <c r="F14" i="1" s="1"/>
  <c r="D43" i="1" a="1"/>
  <c r="D43" i="1" s="1"/>
  <c r="E43" i="1" a="1"/>
  <c r="E43" i="1" s="1"/>
  <c r="F43" i="1" a="1"/>
  <c r="F43" i="1" s="1"/>
  <c r="D40" i="1" a="1"/>
  <c r="D40" i="1" s="1"/>
  <c r="E40" i="1" a="1"/>
  <c r="E40" i="1" s="1"/>
  <c r="F40" i="1" a="1"/>
  <c r="F40" i="1" s="1"/>
  <c r="D17" i="1" a="1"/>
  <c r="D17" i="1" s="1"/>
  <c r="E17" i="1" a="1"/>
  <c r="E17" i="1" s="1"/>
  <c r="F17" i="1" a="1"/>
  <c r="F17" i="1" s="1"/>
  <c r="F35" i="1" a="1"/>
  <c r="F35" i="1" s="1"/>
  <c r="D35" i="1" a="1"/>
  <c r="D35" i="1" s="1"/>
  <c r="E35" i="1" a="1"/>
  <c r="E35" i="1" s="1"/>
  <c r="D32" i="1" a="1"/>
  <c r="D32" i="1" s="1"/>
  <c r="E32" i="1" a="1"/>
  <c r="E32" i="1" s="1"/>
  <c r="F32" i="1" a="1"/>
  <c r="F32" i="1" s="1"/>
  <c r="D9" i="1" a="1"/>
  <c r="D9" i="1" s="1"/>
  <c r="E9" i="1" a="1"/>
  <c r="E9" i="1" s="1"/>
  <c r="F9" i="1" a="1"/>
  <c r="F9" i="1" s="1"/>
  <c r="D27" i="1" a="1"/>
  <c r="D27" i="1" s="1"/>
  <c r="E27" i="1" a="1"/>
  <c r="E27" i="1" s="1"/>
  <c r="F27" i="1" a="1"/>
  <c r="F27" i="1" s="1"/>
  <c r="D25" i="1" a="1"/>
  <c r="D25" i="1" s="1"/>
  <c r="E25" i="1" a="1"/>
  <c r="E25" i="1" s="1"/>
  <c r="F25" i="1" a="1"/>
  <c r="F25" i="1" s="1"/>
  <c r="F24" i="1" a="1"/>
  <c r="F24" i="1" s="1"/>
  <c r="D24" i="1" a="1"/>
  <c r="D24" i="1" s="1"/>
  <c r="E24" i="1" a="1"/>
  <c r="E24" i="1" s="1"/>
  <c r="E3" i="1" a="1"/>
  <c r="E3" i="1" s="1"/>
  <c r="F3" i="1" a="1"/>
  <c r="F3" i="1" s="1"/>
  <c r="D3" i="1" a="1"/>
  <c r="D3" i="1" s="1"/>
  <c r="E44" i="1" a="1"/>
  <c r="E44" i="1" s="1"/>
  <c r="F44" i="1" a="1"/>
  <c r="F44" i="1" s="1"/>
  <c r="D44" i="1" a="1"/>
  <c r="D44" i="1" s="1"/>
  <c r="E33" i="1" a="1"/>
  <c r="E33" i="1" s="1"/>
  <c r="F33" i="1" a="1"/>
  <c r="F33" i="1" s="1"/>
  <c r="D33" i="1" a="1"/>
  <c r="D33" i="1" s="1"/>
  <c r="D5" i="1" a="1"/>
  <c r="D5" i="1" s="1"/>
  <c r="E5" i="1" a="1"/>
  <c r="E5" i="1" s="1"/>
  <c r="F5" i="1" a="1"/>
  <c r="F5" i="1" s="1"/>
  <c r="D6" i="1" a="1"/>
  <c r="D6" i="1" s="1"/>
  <c r="E6" i="1" a="1"/>
  <c r="E6" i="1" s="1"/>
  <c r="F6" i="1" a="1"/>
  <c r="F6" i="1" s="1"/>
  <c r="E45" i="1" a="1"/>
  <c r="E45" i="1" s="1"/>
  <c r="F45" i="1" a="1"/>
  <c r="F45" i="1" s="1"/>
  <c r="D45" i="1" a="1"/>
  <c r="D45" i="1" s="1"/>
  <c r="D39" i="1" a="1"/>
  <c r="D39" i="1" s="1"/>
  <c r="E39" i="1" a="1"/>
  <c r="E39" i="1" s="1"/>
  <c r="F39" i="1" a="1"/>
  <c r="F39" i="1" s="1"/>
  <c r="F34" i="1" a="1"/>
  <c r="F34" i="1" s="1"/>
  <c r="D34" i="1" a="1"/>
  <c r="D34" i="1" s="1"/>
  <c r="E34" i="1" a="1"/>
  <c r="E34" i="1" s="1"/>
  <c r="D11" i="1" a="1"/>
  <c r="D11" i="1" s="1"/>
  <c r="E11" i="1" a="1"/>
  <c r="E11" i="1" s="1"/>
  <c r="F11" i="1" a="1"/>
  <c r="F11" i="1" s="1"/>
  <c r="F29" i="1" a="1"/>
  <c r="F29" i="1" s="1"/>
  <c r="D29" i="1" a="1"/>
  <c r="D29" i="1" s="1"/>
  <c r="E29" i="1" a="1"/>
  <c r="E29" i="1" s="1"/>
  <c r="D7" i="1" a="1"/>
  <c r="D7" i="1" s="1"/>
  <c r="E7" i="1" a="1"/>
  <c r="E7" i="1" s="1"/>
  <c r="F7" i="1" a="1"/>
  <c r="F7" i="1" s="1"/>
  <c r="F23" i="1" a="1"/>
  <c r="F23" i="1" s="1"/>
  <c r="D23" i="1" a="1"/>
  <c r="D23" i="1" s="1"/>
  <c r="E23" i="1" a="1"/>
  <c r="E23" i="1" s="1"/>
  <c r="F13" i="1" a="1"/>
  <c r="F13" i="1" s="1"/>
  <c r="D13" i="1" a="1"/>
  <c r="D13" i="1" s="1"/>
  <c r="E13" i="1" a="1"/>
  <c r="E13" i="1" s="1"/>
  <c r="D42" i="1" a="1"/>
  <c r="D42" i="1" s="1"/>
  <c r="E42" i="1" a="1"/>
  <c r="E42" i="1" s="1"/>
  <c r="F42" i="1" a="1"/>
  <c r="F42" i="1" s="1"/>
  <c r="F37" i="1" a="1"/>
  <c r="F37" i="1" s="1"/>
  <c r="D37" i="1" a="1"/>
  <c r="D37" i="1" s="1"/>
  <c r="E37" i="1" a="1"/>
  <c r="E37" i="1" s="1"/>
  <c r="F30" i="1" a="1"/>
  <c r="F30" i="1" s="1"/>
  <c r="D30" i="1" a="1"/>
  <c r="D30" i="1" s="1"/>
  <c r="E30" i="1" a="1"/>
  <c r="E30" i="1" s="1"/>
  <c r="E8" i="1" a="1"/>
  <c r="E8" i="1" s="1"/>
  <c r="F8" i="1" a="1"/>
  <c r="F8" i="1" s="1"/>
  <c r="D8" i="1" a="1"/>
  <c r="D8" i="1" s="1"/>
  <c r="E22" i="1" a="1"/>
  <c r="E22" i="1" s="1"/>
  <c r="F22" i="1" a="1"/>
  <c r="F22" i="1" s="1"/>
  <c r="D22" i="1" a="1"/>
  <c r="D22" i="1" s="1"/>
  <c r="F19" i="1" a="1"/>
  <c r="F19" i="1" s="1"/>
  <c r="D19" i="1" a="1"/>
  <c r="D19" i="1" s="1"/>
  <c r="E19" i="1" a="1"/>
  <c r="E19" i="1" s="1"/>
  <c r="D18" i="1" a="1"/>
  <c r="D18" i="1" s="1"/>
  <c r="E18" i="1" a="1"/>
  <c r="E18" i="1" s="1"/>
  <c r="F18" i="1" a="1"/>
  <c r="F18" i="1" s="1"/>
  <c r="D26" i="1" a="1"/>
  <c r="D26" i="1" s="1"/>
  <c r="E26" i="1" a="1"/>
  <c r="E26" i="1" s="1"/>
  <c r="F26" i="1" a="1"/>
  <c r="F26" i="1" s="1"/>
  <c r="F16" i="1" a="1"/>
  <c r="F16" i="1" s="1"/>
  <c r="D16" i="1" a="1"/>
  <c r="D16" i="1" s="1"/>
  <c r="E16" i="1" a="1"/>
  <c r="E16" i="1" s="1"/>
  <c r="E12" i="1" a="1"/>
  <c r="E12" i="1" s="1"/>
  <c r="F12" i="1" a="1"/>
  <c r="F12" i="1" s="1"/>
  <c r="F31" i="1" a="1"/>
  <c r="F31" i="1" s="1"/>
  <c r="D31" i="1" a="1"/>
  <c r="D31" i="1" s="1"/>
  <c r="E31" i="1" a="1"/>
  <c r="E31" i="1" s="1"/>
  <c r="E2" i="1" a="1"/>
  <c r="E2" i="1" s="1"/>
  <c r="F2" i="1" a="1"/>
  <c r="F2" i="1" s="1"/>
  <c r="F47" i="1" a="1"/>
  <c r="F47" i="1" s="1"/>
  <c r="K19" i="1" a="1"/>
  <c r="K19" i="1" s="1"/>
  <c r="J13" i="1" a="1"/>
  <c r="J13" i="1" s="1"/>
  <c r="J44" i="1" a="1"/>
  <c r="J44" i="1" s="1"/>
  <c r="L42" i="1" a="1"/>
  <c r="L42" i="1" s="1"/>
  <c r="K18" i="1" a="1"/>
  <c r="K18" i="1" s="1"/>
  <c r="K5" i="1" a="1"/>
  <c r="K5" i="1" s="1"/>
  <c r="K22" i="1" a="1"/>
  <c r="K22" i="1" s="1"/>
  <c r="E47" i="1" a="1"/>
  <c r="E47" i="1" s="1"/>
  <c r="L10" i="1" a="1"/>
  <c r="L10" i="1" s="1"/>
  <c r="K4" i="1" a="1"/>
  <c r="K4" i="1" s="1"/>
  <c r="K21" i="1" a="1"/>
  <c r="K21" i="1" s="1"/>
  <c r="D2" i="1" a="1"/>
  <c r="D2" i="1" s="1"/>
  <c r="L14" i="1" a="1"/>
  <c r="L14" i="1" s="1"/>
  <c r="K43" i="1" a="1"/>
  <c r="K43" i="1" s="1"/>
  <c r="J40" i="1" a="1"/>
  <c r="J40" i="1" s="1"/>
  <c r="L17" i="1" a="1"/>
  <c r="L17" i="1" s="1"/>
  <c r="D12" i="1" a="1"/>
  <c r="D12" i="1" s="1"/>
  <c r="J6" i="1" a="1"/>
  <c r="J6" i="1" s="1"/>
  <c r="L6" i="1" a="1"/>
  <c r="L6" i="1" s="1"/>
  <c r="K6" i="1" a="1"/>
  <c r="K6" i="1" s="1"/>
  <c r="J45" i="1" a="1"/>
  <c r="J45" i="1" s="1"/>
  <c r="L45" i="1" a="1"/>
  <c r="L45" i="1" s="1"/>
  <c r="K45" i="1" a="1"/>
  <c r="K45" i="1" s="1"/>
  <c r="J39" i="1" a="1"/>
  <c r="J39" i="1" s="1"/>
  <c r="L39" i="1" a="1"/>
  <c r="L39" i="1" s="1"/>
  <c r="J12" i="1" a="1"/>
  <c r="J12" i="1" s="1"/>
  <c r="K12" i="1" a="1"/>
  <c r="K12" i="1" s="1"/>
  <c r="J11" i="1" a="1"/>
  <c r="J11" i="1" s="1"/>
  <c r="K11" i="1" a="1"/>
  <c r="K11" i="1" s="1"/>
  <c r="J31" i="1" a="1"/>
  <c r="J31" i="1" s="1"/>
  <c r="K31" i="1" a="1"/>
  <c r="K31" i="1" s="1"/>
  <c r="K29" i="1" a="1"/>
  <c r="K29" i="1" s="1"/>
  <c r="J42" i="1" a="1"/>
  <c r="J42" i="1" s="1"/>
  <c r="L43" i="1" a="1"/>
  <c r="L43" i="1" s="1"/>
  <c r="K40" i="1" a="1"/>
  <c r="K40" i="1" s="1"/>
  <c r="J46" i="1" a="1"/>
  <c r="J46" i="1" s="1"/>
  <c r="K46" i="1" a="1"/>
  <c r="K46" i="1" s="1"/>
  <c r="J41" i="1" a="1"/>
  <c r="J41" i="1" s="1"/>
  <c r="L41" i="1" a="1"/>
  <c r="L41" i="1" s="1"/>
  <c r="K41" i="1" a="1"/>
  <c r="K41" i="1" s="1"/>
  <c r="J36" i="1" a="1"/>
  <c r="J36" i="1" s="1"/>
  <c r="K36" i="1" a="1"/>
  <c r="K36" i="1" s="1"/>
  <c r="J15" i="1" a="1"/>
  <c r="J15" i="1" s="1"/>
  <c r="K15" i="1" a="1"/>
  <c r="K15" i="1" s="1"/>
  <c r="J28" i="1" a="1"/>
  <c r="J28" i="1" s="1"/>
  <c r="K28" i="1" a="1"/>
  <c r="K28" i="1" s="1"/>
  <c r="J23" i="1" a="1"/>
  <c r="J23" i="1" s="1"/>
  <c r="L23" i="1" a="1"/>
  <c r="L23" i="1" s="1"/>
  <c r="J3" i="1" a="1"/>
  <c r="J3" i="1" s="1"/>
  <c r="L3" i="1" a="1"/>
  <c r="L3" i="1" s="1"/>
  <c r="L22" i="1" a="1"/>
  <c r="L22" i="1" s="1"/>
  <c r="J21" i="1" a="1"/>
  <c r="J21" i="1" s="1"/>
  <c r="L21" i="1" a="1"/>
  <c r="L21" i="1" s="1"/>
  <c r="K38" i="1" l="1" a="1"/>
  <c r="K38" i="1" s="1"/>
  <c r="K13" i="1" a="1"/>
  <c r="K13" i="1" s="1"/>
  <c r="L38" i="1" a="1"/>
  <c r="L38" i="1" s="1"/>
  <c r="L13" i="1" a="1"/>
  <c r="L13" i="1" s="1"/>
  <c r="K7" i="1" a="1"/>
  <c r="K7" i="1" s="1"/>
  <c r="K48" i="1" s="1"/>
  <c r="P2" i="1" s="1"/>
  <c r="J7" i="1" a="1"/>
  <c r="J7" i="1" s="1"/>
  <c r="K16" i="1" a="1"/>
  <c r="K16" i="1" s="1"/>
  <c r="J43" i="1" a="1"/>
  <c r="J43" i="1" s="1"/>
  <c r="J23" i="2" a="1"/>
  <c r="J23" i="2" s="1"/>
  <c r="K25" i="2" a="1"/>
  <c r="K25" i="2" s="1"/>
  <c r="J21" i="2" a="1"/>
  <c r="J21" i="2" s="1"/>
  <c r="K9" i="2" a="1"/>
  <c r="K9" i="2" s="1"/>
  <c r="J17" i="2" a="1"/>
  <c r="J17" i="2" s="1"/>
  <c r="K19" i="2" a="1"/>
  <c r="K19" i="2" s="1"/>
  <c r="K34" i="1" a="1"/>
  <c r="K34" i="1" s="1"/>
  <c r="K47" i="1" a="1"/>
  <c r="K47" i="1" s="1"/>
  <c r="K27" i="2" a="1"/>
  <c r="K27" i="2" s="1"/>
  <c r="K11" i="2" a="1"/>
  <c r="K11" i="2" s="1"/>
  <c r="L13" i="2" a="1"/>
  <c r="L13" i="2" s="1"/>
  <c r="L18" i="1" a="1"/>
  <c r="L18" i="1" s="1"/>
  <c r="J34" i="1" a="1"/>
  <c r="J34" i="1" s="1"/>
  <c r="L47" i="1" a="1"/>
  <c r="L47" i="1" s="1"/>
  <c r="J27" i="2" a="1"/>
  <c r="J27" i="2" s="1"/>
  <c r="J11" i="2" a="1"/>
  <c r="J11" i="2" s="1"/>
  <c r="K18" i="2" a="1"/>
  <c r="K18" i="2" s="1"/>
  <c r="L18" i="2" a="1"/>
  <c r="L18" i="2" s="1"/>
  <c r="J18" i="2" a="1"/>
  <c r="J18" i="2" s="1"/>
  <c r="L16" i="1" a="1"/>
  <c r="L16" i="1" s="1"/>
  <c r="K44" i="1" a="1"/>
  <c r="K44" i="1" s="1"/>
  <c r="K14" i="2" a="1"/>
  <c r="K14" i="2" s="1"/>
  <c r="L14" i="2" a="1"/>
  <c r="L14" i="2" s="1"/>
  <c r="J14" i="2" a="1"/>
  <c r="J14" i="2" s="1"/>
  <c r="K10" i="2" a="1"/>
  <c r="K10" i="2" s="1"/>
  <c r="L10" i="2" a="1"/>
  <c r="L10" i="2" s="1"/>
  <c r="J10" i="2" a="1"/>
  <c r="J10" i="2" s="1"/>
  <c r="K26" i="2" a="1"/>
  <c r="K26" i="2" s="1"/>
  <c r="L26" i="2" a="1"/>
  <c r="L26" i="2" s="1"/>
  <c r="J26" i="2" a="1"/>
  <c r="J26" i="2" s="1"/>
  <c r="J4" i="1" a="1"/>
  <c r="J4" i="1" s="1"/>
  <c r="J48" i="1" s="1"/>
  <c r="O2" i="1" s="1"/>
  <c r="J20" i="1" a="1"/>
  <c r="J20" i="1" s="1"/>
  <c r="K20" i="2" a="1"/>
  <c r="K20" i="2" s="1"/>
  <c r="L20" i="2" a="1"/>
  <c r="L20" i="2" s="1"/>
  <c r="J20" i="2" a="1"/>
  <c r="J20" i="2" s="1"/>
  <c r="K12" i="2" a="1"/>
  <c r="K12" i="2" s="1"/>
  <c r="L12" i="2" a="1"/>
  <c r="L12" i="2" s="1"/>
  <c r="J12" i="2" a="1"/>
  <c r="J12" i="2" s="1"/>
  <c r="L5" i="1" a="1"/>
  <c r="L5" i="1" s="1"/>
  <c r="L24" i="1" a="1"/>
  <c r="L24" i="1" s="1"/>
  <c r="L25" i="1" a="1"/>
  <c r="L25" i="1" s="1"/>
  <c r="K20" i="1" a="1"/>
  <c r="K20" i="1" s="1"/>
  <c r="K22" i="2" a="1"/>
  <c r="K22" i="2" s="1"/>
  <c r="L22" i="2" a="1"/>
  <c r="L22" i="2" s="1"/>
  <c r="J22" i="2" a="1"/>
  <c r="J22" i="2" s="1"/>
  <c r="E24" i="2" a="1"/>
  <c r="E24" i="2" s="1"/>
  <c r="F24" i="2" a="1"/>
  <c r="F24" i="2" s="1"/>
  <c r="D24" i="2" a="1"/>
  <c r="D24" i="2" s="1"/>
  <c r="J5" i="1" a="1"/>
  <c r="J5" i="1" s="1"/>
  <c r="J24" i="1" a="1"/>
  <c r="J24" i="1" s="1"/>
  <c r="J25" i="1" a="1"/>
  <c r="J25" i="1" s="1"/>
  <c r="J17" i="1" a="1"/>
  <c r="J17" i="1" s="1"/>
  <c r="J14" i="1" a="1"/>
  <c r="J14" i="1" s="1"/>
  <c r="L44" i="1" a="1"/>
  <c r="L44" i="1" s="1"/>
  <c r="J29" i="1" a="1"/>
  <c r="J29" i="1" s="1"/>
  <c r="L19" i="1" a="1"/>
  <c r="L19" i="1" s="1"/>
  <c r="K16" i="2" a="1"/>
  <c r="K16" i="2" s="1"/>
  <c r="L16" i="2" a="1"/>
  <c r="L16" i="2" s="1"/>
  <c r="J16" i="2" a="1"/>
  <c r="J16" i="2" s="1"/>
  <c r="K8" i="2" a="1"/>
  <c r="K8" i="2" s="1"/>
  <c r="L8" i="2" a="1"/>
  <c r="L8" i="2" s="1"/>
  <c r="J8" i="2" a="1"/>
  <c r="J8" i="2" s="1"/>
  <c r="K24" i="2" a="1"/>
  <c r="K24" i="2" s="1"/>
  <c r="L24" i="2" a="1"/>
  <c r="L24" i="2" s="1"/>
  <c r="J24" i="2" a="1"/>
  <c r="J24" i="2" s="1"/>
  <c r="E26" i="2" a="1"/>
  <c r="E26" i="2" s="1"/>
  <c r="F26" i="2" a="1"/>
  <c r="F26" i="2" s="1"/>
  <c r="D26" i="2" a="1"/>
  <c r="D26" i="2" s="1"/>
  <c r="J9" i="1" a="1"/>
  <c r="J9" i="1" s="1"/>
  <c r="L9" i="1" a="1"/>
  <c r="L9" i="1" s="1"/>
  <c r="K9" i="1" a="1"/>
  <c r="K9" i="1" s="1"/>
  <c r="J26" i="1" a="1"/>
  <c r="J26" i="1" s="1"/>
  <c r="K26" i="1" a="1"/>
  <c r="K26" i="1" s="1"/>
  <c r="L26" i="1" a="1"/>
  <c r="L26" i="1" s="1"/>
  <c r="J19" i="1" a="1"/>
  <c r="J19" i="1" s="1"/>
  <c r="J22" i="1" a="1"/>
  <c r="J22" i="1" s="1"/>
  <c r="K42" i="1" a="1"/>
  <c r="K42" i="1" s="1"/>
  <c r="J18" i="1" a="1"/>
  <c r="J18" i="1" s="1"/>
  <c r="J27" i="1" a="1"/>
  <c r="J27" i="1" s="1"/>
  <c r="K27" i="1" a="1"/>
  <c r="K27" i="1" s="1"/>
  <c r="L27" i="1" a="1"/>
  <c r="L27" i="1" s="1"/>
  <c r="J32" i="1" a="1"/>
  <c r="J32" i="1" s="1"/>
  <c r="K32" i="1" a="1"/>
  <c r="K32" i="1" s="1"/>
  <c r="L32" i="1" a="1"/>
  <c r="L32" i="1" s="1"/>
  <c r="J8" i="1" a="1"/>
  <c r="J8" i="1" s="1"/>
  <c r="K8" i="1" a="1"/>
  <c r="K8" i="1" s="1"/>
  <c r="L8" i="1" a="1"/>
  <c r="L8" i="1" s="1"/>
  <c r="K10" i="1" a="1"/>
  <c r="K10" i="1" s="1"/>
  <c r="K17" i="1" a="1"/>
  <c r="K17" i="1" s="1"/>
  <c r="L40" i="1" a="1"/>
  <c r="L40" i="1" s="1"/>
  <c r="K14" i="1" a="1"/>
  <c r="K14" i="1" s="1"/>
  <c r="J33" i="1" a="1"/>
  <c r="J33" i="1" s="1"/>
  <c r="K33" i="1" a="1"/>
  <c r="K33" i="1" s="1"/>
  <c r="L33" i="1" a="1"/>
  <c r="L33" i="1" s="1"/>
  <c r="L4" i="1" a="1"/>
  <c r="L4" i="1" s="1"/>
  <c r="J10" i="1" a="1"/>
  <c r="J10" i="1" s="1"/>
  <c r="J35" i="1" a="1"/>
  <c r="J35" i="1" s="1"/>
  <c r="K35" i="1" a="1"/>
  <c r="K35" i="1" s="1"/>
  <c r="L35" i="1" a="1"/>
  <c r="L35" i="1" s="1"/>
  <c r="J30" i="1" a="1"/>
  <c r="J30" i="1" s="1"/>
  <c r="K30" i="1" a="1"/>
  <c r="K30" i="1" s="1"/>
  <c r="L30" i="1" a="1"/>
  <c r="L30" i="1" s="1"/>
  <c r="J37" i="1" a="1"/>
  <c r="J37" i="1" s="1"/>
  <c r="K37" i="1" a="1"/>
  <c r="K37" i="1" s="1"/>
  <c r="L37" i="1" a="1"/>
  <c r="L37" i="1" s="1"/>
  <c r="L48" i="1" l="1"/>
  <c r="Q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<sst xmlns="http://schemas.openxmlformats.org/spreadsheetml/2006/main" count="244" uniqueCount="92">
  <si>
    <t>Number</t>
  </si>
  <si>
    <t>PPC125</t>
  </si>
  <si>
    <t>Charles</t>
  </si>
  <si>
    <t xml:space="preserve">Harry </t>
  </si>
  <si>
    <t>LightHouse</t>
  </si>
  <si>
    <t>SSN</t>
  </si>
  <si>
    <t>589-39-8064</t>
  </si>
  <si>
    <t>265-17-2317</t>
  </si>
  <si>
    <t>256-06-5812</t>
  </si>
  <si>
    <t>593-43-4445</t>
  </si>
  <si>
    <t>263-79-8264</t>
  </si>
  <si>
    <t>438-67-6419</t>
  </si>
  <si>
    <t>267-27-8279</t>
  </si>
  <si>
    <t>732-07-4120</t>
  </si>
  <si>
    <t>592-25-0250</t>
  </si>
  <si>
    <t>594-08-9837</t>
  </si>
  <si>
    <t>122-64-4836</t>
  </si>
  <si>
    <t>083-90-5014</t>
  </si>
  <si>
    <t>266-47-7175</t>
  </si>
  <si>
    <t>266-68-6434</t>
  </si>
  <si>
    <t>584-81-8792</t>
  </si>
  <si>
    <t>263-53-6471</t>
  </si>
  <si>
    <t>264-19-6050</t>
  </si>
  <si>
    <t>170-81-2820</t>
  </si>
  <si>
    <t>262-39-5517</t>
  </si>
  <si>
    <t>264-95-4259</t>
  </si>
  <si>
    <t>590-29-9174</t>
  </si>
  <si>
    <t>590-01-1044</t>
  </si>
  <si>
    <t>772-16-6558</t>
  </si>
  <si>
    <t>346-72-0673</t>
  </si>
  <si>
    <t>594-67-7039</t>
  </si>
  <si>
    <t>696-60-4090</t>
  </si>
  <si>
    <t>592-81-9869</t>
  </si>
  <si>
    <t>883-77-8340</t>
  </si>
  <si>
    <t>131-44-2343</t>
  </si>
  <si>
    <t>581-79-1716</t>
  </si>
  <si>
    <t>581-97-3493</t>
  </si>
  <si>
    <t>593-44-9070</t>
  </si>
  <si>
    <t>184-97-8055</t>
  </si>
  <si>
    <t>597-56-1958</t>
  </si>
  <si>
    <t>583-77-2361</t>
  </si>
  <si>
    <t>616-44-6170</t>
  </si>
  <si>
    <t>590-93-2885</t>
  </si>
  <si>
    <t>128-67-8152</t>
  </si>
  <si>
    <t>262-55-7788</t>
  </si>
  <si>
    <t>265-39-2261</t>
  </si>
  <si>
    <t>266-93-7405</t>
  </si>
  <si>
    <t>788-91-9029</t>
  </si>
  <si>
    <t>708-30-7425</t>
  </si>
  <si>
    <t>314-94-5908</t>
  </si>
  <si>
    <t>336-99-3624</t>
  </si>
  <si>
    <t>862-84-8152</t>
  </si>
  <si>
    <t>888-06-0066</t>
  </si>
  <si>
    <t>078-70-3980</t>
  </si>
  <si>
    <t>119-50-5484</t>
  </si>
  <si>
    <t>125-68-5377</t>
  </si>
  <si>
    <t>592-35-3794</t>
  </si>
  <si>
    <t>772-30-7580</t>
  </si>
  <si>
    <t>591-75-7794</t>
  </si>
  <si>
    <t>305-27-8804</t>
  </si>
  <si>
    <t>518-65-4581</t>
  </si>
  <si>
    <t>597-07-1130</t>
  </si>
  <si>
    <t>101-79-1264</t>
  </si>
  <si>
    <t>192-82-0569</t>
  </si>
  <si>
    <t>242-25-5710</t>
  </si>
  <si>
    <t>591-52-5654</t>
  </si>
  <si>
    <t>594-95-7580</t>
  </si>
  <si>
    <t>770-36-2914</t>
  </si>
  <si>
    <t>578-04-3439</t>
  </si>
  <si>
    <t>684-12-7500</t>
  </si>
  <si>
    <t>089-70-7618</t>
  </si>
  <si>
    <t>852-79-6774</t>
  </si>
  <si>
    <t>644-92-3340</t>
  </si>
  <si>
    <t>278-72-1895</t>
  </si>
  <si>
    <t>770-54-1090</t>
  </si>
  <si>
    <t>384-72-4154</t>
  </si>
  <si>
    <t>683-25-9000</t>
  </si>
  <si>
    <t>D-ppc 125</t>
  </si>
  <si>
    <t>-27,507.72</t>
  </si>
  <si>
    <t>589-97-7430</t>
  </si>
  <si>
    <t>234-21-2466</t>
  </si>
  <si>
    <t>769-42-2680</t>
  </si>
  <si>
    <t>231-69-9997</t>
  </si>
  <si>
    <t>267-61-0296</t>
  </si>
  <si>
    <t>-26,215.40</t>
  </si>
  <si>
    <t>[12.5}</t>
  </si>
  <si>
    <t>[12.22}</t>
  </si>
  <si>
    <t>Total</t>
  </si>
  <si>
    <t>Plan 1000 Total</t>
  </si>
  <si>
    <t>Other Plans Total</t>
  </si>
  <si>
    <t>Agent 1</t>
  </si>
  <si>
    <t>Agent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</si>
</sst>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44" fontId="0" fillId="0" borderId="0" xfId="1" applyFont="1"/>
    <xf numFmtId="44" fontId="0" fillId="0" borderId="0" xfId="0" applyNumberFormat="1"/>
    <xf numFmtId="44" fontId="1" fillId="2" borderId="1" xfId="1" applyFont="1" applyFill="1" applyBorder="1" applyAlignment="1">
      <alignment horizontal="center"/>
    </xf>
    <xf numFmtId="44" fontId="1" fillId="3" borderId="1" xfId="1" applyFont="1" applyFill="1" applyBorder="1" applyAlignment="1">
      <alignment horizontal="center"/>
    </xf>
    <xf numFmtId="44" fontId="1" fillId="4" borderId="1" xfId="1" applyFont="1" applyFill="1" applyBorder="1" applyAlignment="1">
      <alignment horizontal="center"/>
    </xf>
    <xf numFmtId="0" fontId="1" fillId="0" borderId="0" xfId="0" applyFont="1"/>
    <xf numFmtId="0" fontId="1" fillId="6" borderId="0" xfId="0" applyFont="1" applyFill="1"/>
    <xf numFmtId="0" fontId="0" fillId="6" borderId="0" xfId="0" applyFill="1"/>
    <xf numFmtId="0" fontId="0" fillId="7" borderId="0" xfId="0" applyFill="1" applyAlignment="1">
      <alignment horizontal="left" vertical="top"/>
    </xf>
    <xf numFmtId="0" fontId="0" fillId="7" borderId="0" xfId="0" applyFill="1"/>
    <xf numFmtId="44" fontId="0" fillId="7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0CD2-3229-46DC-8F34-BEA6A6826EE1}">
  <dimension ref="A1:R48"/>
  <sheetViews>
    <sheetView tabSelected="1" workbookViewId="0">
      <selection activeCell="O7" sqref="O7"/>
    </sheetView>
  </sheetViews>
  <sheetFormatPr defaultColWidth="10.7109375" defaultRowHeight="15" x14ac:dyDescent="0.25"/>
  <cols>
    <col min="1" max="1" width="12.28515625" customWidth="1"/>
    <col min="6" max="6" width="11.85546875" customWidth="1"/>
    <col min="7" max="7" width="1.5703125" style="3" customWidth="1"/>
    <col min="14" max="14" width="16.42578125" bestFit="1" customWidth="1"/>
  </cols>
  <sheetData>
    <row r="1" spans="1:18" s="1" customFormat="1" x14ac:dyDescent="0.25">
      <c r="A1" s="4" t="s">
        <v>0</v>
      </c>
      <c r="B1" s="4" t="s">
        <v>1</v>
      </c>
      <c r="C1" s="4" t="s">
        <v>85</v>
      </c>
      <c r="D1" s="5" t="s">
        <v>2</v>
      </c>
      <c r="E1" s="6" t="s">
        <v>3</v>
      </c>
      <c r="F1" s="7" t="s">
        <v>4</v>
      </c>
      <c r="G1" s="2"/>
      <c r="H1" s="4" t="s">
        <v>1</v>
      </c>
      <c r="I1" s="4" t="s">
        <v>86</v>
      </c>
      <c r="J1" s="5" t="s">
        <v>2</v>
      </c>
      <c r="K1" s="6" t="s">
        <v>3</v>
      </c>
      <c r="L1" s="7" t="s">
        <v>4</v>
      </c>
      <c r="O1" s="14" t="s">
        <v>2</v>
      </c>
      <c r="P1" s="15" t="s">
        <v>3</v>
      </c>
      <c r="Q1" s="16" t="s">
        <v>4</v>
      </c>
    </row>
    <row r="2" spans="1:18" x14ac:dyDescent="0.25">
      <c r="A2" s="9" t="s">
        <v>9</v>
      </c>
      <c r="B2">
        <f>VLOOKUP(A2,'12.5'!A:B,2,FALSE)</f>
        <v>-738.46</v>
      </c>
      <c r="C2" t="str" cm="1">
        <f t="array" ref="C2">_xlfn.IFS(
B2=-738.46,"Plan 1600",
B2=-646.15,"Plan 1400",
B2=-553.85,"Plan 1200",
B2=-461.54,"Plan 1000"
)</f>
        <v>Plan 1600</v>
      </c>
      <c r="D2" s="12" cm="1">
        <f t="array" ref="D2">_xlfn.SWITCH($C2,"Plan 1600",15*12/26,"Plan 1400",10*12/26,"Plan 1200",5*12/26,"Plan 1000",1.5*12/26,"")</f>
        <v>6.9230769230769234</v>
      </c>
      <c r="E2" s="12" cm="1">
        <f t="array" ref="E2">_xlfn.SWITCH($C2,"Plan 1600",97*12/26,"Plan 1400",78*12/26,"Plan 1200",60*12/26,"Plan 1000",25*12/26,"")</f>
        <v>44.769230769230766</v>
      </c>
      <c r="F2" s="12" cm="1">
        <f t="array" ref="F2">_xlfn.SWITCH($C2,"Plan 1600",25*12/26,"Plan 1400",20*12/26,"Plan 1200",15*12/26,"Plan 1000",2*12/26,"")</f>
        <v>11.538461538461538</v>
      </c>
      <c r="H2">
        <f>VLOOKUP(A2,'12.22'!A:B,2,FALSE)</f>
        <v>-738.46</v>
      </c>
      <c r="I2" t="str" cm="1">
        <f t="array" ref="I2">_xlfn.IFS(
H2=-738.46,"Plan 1600",
H2=-646.15,"Plan 1400",
H2=-553.85,"Plan 1200",
H2=-461.54,"Plan 1000"
)</f>
        <v>Plan 1600</v>
      </c>
      <c r="J2" s="12" cm="1">
        <f t="array" ref="J2">_xlfn.SWITCH($I2,"Plan 1600",15*12/26,"Plan 1400",10*12/26,"Plan 1200",5*12/26,"Plan 1000",1.5*12/26,"")</f>
        <v>6.9230769230769234</v>
      </c>
      <c r="K2" s="12" cm="1">
        <f t="array" ref="K2">_xlfn.SWITCH($I2,"Plan 1600",97*12/26,"Plan 1400",78*12/26,"Plan 1200",60*12/26,"Plan 1000",25*12/26,"")</f>
        <v>44.769230769230766</v>
      </c>
      <c r="L2" s="12" cm="1">
        <f t="array" ref="L2">_xlfn.SWITCH($I2,"Plan 1600",25*12/26,"Plan 1400",20*12/26,"Plan 1200",15*12/26,"Plan 1000",2*12/26,"")</f>
        <v>11.538461538461538</v>
      </c>
      <c r="N2" s="1" t="s">
        <v>87</v>
      </c>
      <c r="O2" s="13">
        <f>D48+J48</f>
        <v>204</v>
      </c>
      <c r="P2" s="13">
        <f t="shared" ref="P2:Q2" si="0">E48+K48</f>
        <v>1923.23076923077</v>
      </c>
      <c r="Q2" s="13">
        <f t="shared" si="0"/>
        <v>374.30769230769295</v>
      </c>
    </row>
    <row r="3" spans="1:18" x14ac:dyDescent="0.25">
      <c r="A3" s="9" t="s">
        <v>10</v>
      </c>
      <c r="B3">
        <f>VLOOKUP(A3,'12.5'!A:B,2,FALSE)</f>
        <v>-738.46</v>
      </c>
      <c r="C3" t="str" cm="1">
        <f t="array" ref="C3">_xlfn.IFS(
B3=-738.46,"Plan 1600",
B3=-646.15,"Plan 1400",
B3=-553.85,"Plan 1200",
B3=-461.54,"Plan 1000"
)</f>
        <v>Plan 1600</v>
      </c>
      <c r="D3" s="12" cm="1">
        <f t="array" ref="D3">_xlfn.SWITCH($C3,"Plan 1600",15*12/26,"Plan 1400",10*12/26,"Plan 1200",5*12/26,"Plan 1000",1.5*12/26,"")</f>
        <v>6.9230769230769234</v>
      </c>
      <c r="E3" s="12" cm="1">
        <f t="array" ref="E3">_xlfn.SWITCH($C3,"Plan 1600",97*12/26,"Plan 1400",78*12/26,"Plan 1200",60*12/26,"Plan 1000",25*12/26,"")</f>
        <v>44.769230769230766</v>
      </c>
      <c r="F3" s="12" cm="1">
        <f t="array" ref="F3">_xlfn.SWITCH($C3,"Plan 1600",25*12/26,"Plan 1400",20*12/26,"Plan 1200",15*12/26,"Plan 1000",2*12/26,"")</f>
        <v>11.538461538461538</v>
      </c>
      <c r="H3">
        <f>VLOOKUP(A3,'12.22'!A:B,2,FALSE)</f>
        <v>-738.46</v>
      </c>
      <c r="I3" t="str" cm="1">
        <f t="array" ref="I3">_xlfn.IFS(
H3=-738.46,"Plan 1600",
H3=-646.15,"Plan 1400",
H3=-553.85,"Plan 1200",
H3=-461.54,"Plan 1000"
)</f>
        <v>Plan 1600</v>
      </c>
      <c r="J3" s="12" cm="1">
        <f t="array" ref="J3">_xlfn.SWITCH($I3,"Plan 1600",15*12/26,"Plan 1400",10*12/26,"Plan 1200",5*12/26,"Plan 1000",1.5*12/26,"")</f>
        <v>6.9230769230769234</v>
      </c>
      <c r="K3" s="12" cm="1">
        <f t="array" ref="K3">_xlfn.SWITCH($I3,"Plan 1600",97*12/26,"Plan 1400",78*12/26,"Plan 1200",60*12/26,"Plan 1000",25*12/26,"")</f>
        <v>44.769230769230766</v>
      </c>
      <c r="L3" s="12" cm="1">
        <f t="array" ref="L3">_xlfn.SWITCH($I3,"Plan 1600",25*12/26,"Plan 1400",20*12/26,"Plan 1200",15*12/26,"Plan 1000",2*12/26,"")</f>
        <v>11.538461538461538</v>
      </c>
    </row>
    <row r="4" spans="1:18" x14ac:dyDescent="0.25">
      <c r="A4" s="9" t="s">
        <v>11</v>
      </c>
      <c r="B4">
        <f>VLOOKUP(A4,'12.5'!A:B,2,FALSE)</f>
        <v>-738.46</v>
      </c>
      <c r="C4" t="str" cm="1">
        <f t="array" ref="C4">_xlfn.IFS(
B4=-738.46,"Plan 1600",
B4=-646.15,"Plan 1400",
B4=-553.85,"Plan 1200",
B4=-461.54,"Plan 1000"
)</f>
        <v>Plan 1600</v>
      </c>
      <c r="D4" s="12" cm="1">
        <f t="array" ref="D4">_xlfn.SWITCH($C4,"Plan 1600",15*12/26,"Plan 1400",10*12/26,"Plan 1200",5*12/26,"Plan 1000",1.5*12/26,"")</f>
        <v>6.9230769230769234</v>
      </c>
      <c r="E4" s="12" cm="1">
        <f t="array" ref="E4">_xlfn.SWITCH($C4,"Plan 1600",97*12/26,"Plan 1400",78*12/26,"Plan 1200",60*12/26,"Plan 1000",25*12/26,"")</f>
        <v>44.769230769230766</v>
      </c>
      <c r="F4" s="12" cm="1">
        <f t="array" ref="F4">_xlfn.SWITCH($C4,"Plan 1600",25*12/26,"Plan 1400",20*12/26,"Plan 1200",15*12/26,"Plan 1000",2*12/26,"")</f>
        <v>11.538461538461538</v>
      </c>
      <c r="H4">
        <f>VLOOKUP(A4,'12.22'!A:B,2,FALSE)</f>
        <v>-738.46</v>
      </c>
      <c r="I4" t="str" cm="1">
        <f t="array" ref="I4">_xlfn.IFS(
H4=-738.46,"Plan 1600",
H4=-646.15,"Plan 1400",
H4=-553.85,"Plan 1200",
H4=-461.54,"Plan 1000"
)</f>
        <v>Plan 1600</v>
      </c>
      <c r="J4" s="12" cm="1">
        <f t="array" ref="J4">_xlfn.SWITCH($I4,"Plan 1600",15*12/26,"Plan 1400",10*12/26,"Plan 1200",5*12/26,"Plan 1000",1.5*12/26,"")</f>
        <v>6.9230769230769234</v>
      </c>
      <c r="K4" s="12" cm="1">
        <f t="array" ref="K4">_xlfn.SWITCH($I4,"Plan 1600",97*12/26,"Plan 1400",78*12/26,"Plan 1200",60*12/26,"Plan 1000",25*12/26,"")</f>
        <v>44.769230769230766</v>
      </c>
      <c r="L4" s="12" cm="1">
        <f t="array" ref="L4">_xlfn.SWITCH($I4,"Plan 1600",25*12/26,"Plan 1400",20*12/26,"Plan 1200",15*12/26,"Plan 1000",2*12/26,"")</f>
        <v>11.538461538461538</v>
      </c>
      <c r="P4" s="18" t="s">
        <v>90</v>
      </c>
      <c r="Q4" s="18" t="s">
        <v>91</v>
      </c>
    </row>
    <row r="5" spans="1:18" x14ac:dyDescent="0.25">
      <c r="A5" s="9" t="s">
        <v>12</v>
      </c>
      <c r="B5">
        <f>VLOOKUP(A5,'12.5'!A:B,2,FALSE)</f>
        <v>-738.46</v>
      </c>
      <c r="C5" t="str" cm="1">
        <f t="array" ref="C5">_xlfn.IFS(
B5=-738.46,"Plan 1600",
B5=-646.15,"Plan 1400",
B5=-553.85,"Plan 1200",
B5=-461.54,"Plan 1000"
)</f>
        <v>Plan 1600</v>
      </c>
      <c r="D5" s="12" cm="1">
        <f t="array" ref="D5">_xlfn.SWITCH($C5,"Plan 1600",15*12/26,"Plan 1400",10*12/26,"Plan 1200",5*12/26,"Plan 1000",1.5*12/26,"")</f>
        <v>6.9230769230769234</v>
      </c>
      <c r="E5" s="12" cm="1">
        <f t="array" ref="E5">_xlfn.SWITCH($C5,"Plan 1600",97*12/26,"Plan 1400",78*12/26,"Plan 1200",60*12/26,"Plan 1000",25*12/26,"")</f>
        <v>44.769230769230766</v>
      </c>
      <c r="F5" s="12" cm="1">
        <f t="array" ref="F5">_xlfn.SWITCH($C5,"Plan 1600",25*12/26,"Plan 1400",20*12/26,"Plan 1200",15*12/26,"Plan 1000",2*12/26,"")</f>
        <v>11.538461538461538</v>
      </c>
      <c r="H5">
        <f>VLOOKUP(A5,'12.22'!A:B,2,FALSE)</f>
        <v>-738.46</v>
      </c>
      <c r="I5" t="str" cm="1">
        <f t="array" ref="I5">_xlfn.IFS(
H5=-738.46,"Plan 1600",
H5=-646.15,"Plan 1400",
H5=-553.85,"Plan 1200",
H5=-461.54,"Plan 1000"
)</f>
        <v>Plan 1600</v>
      </c>
      <c r="J5" s="12" cm="1">
        <f t="array" ref="J5">_xlfn.SWITCH($I5,"Plan 1600",15*12/26,"Plan 1400",10*12/26,"Plan 1200",5*12/26,"Plan 1000",1.5*12/26,"")</f>
        <v>6.9230769230769234</v>
      </c>
      <c r="K5" s="12" cm="1">
        <f t="array" ref="K5">_xlfn.SWITCH($I5,"Plan 1600",97*12/26,"Plan 1400",78*12/26,"Plan 1200",60*12/26,"Plan 1000",25*12/26,"")</f>
        <v>44.769230769230766</v>
      </c>
      <c r="L5" s="12" cm="1">
        <f t="array" ref="L5">_xlfn.SWITCH($I5,"Plan 1600",25*12/26,"Plan 1400",20*12/26,"Plan 1200",15*12/26,"Plan 1000",2*12/26,"")</f>
        <v>11.538461538461538</v>
      </c>
      <c r="N5" s="17" t="s">
        <v>88</v>
      </c>
      <c r="O5" s="19" cm="1">
        <f t="array" ref="O5">SUMPRODUCT(--(
 (ISNUMBER(SEARCH("Plan 1000",C2:C47))+
  ISNUMBER(SEARCH("Plan 1000",I2:I47)))&gt;0
))</f>
        <v>30</v>
      </c>
      <c r="P5" s="12">
        <f>O5*5</f>
        <v>150</v>
      </c>
      <c r="Q5" s="12">
        <f>O5*5</f>
        <v>150</v>
      </c>
    </row>
    <row r="6" spans="1:18" x14ac:dyDescent="0.25">
      <c r="A6" s="9" t="s">
        <v>73</v>
      </c>
      <c r="B6">
        <f>VLOOKUP(A6,'12.5'!A:B,2,FALSE)</f>
        <v>-738.46</v>
      </c>
      <c r="C6" t="str" cm="1">
        <f t="array" ref="C6">_xlfn.IFS(
B6=-738.46,"Plan 1600",
B6=-646.15,"Plan 1400",
B6=-553.85,"Plan 1200",
B6=-461.54,"Plan 1000"
)</f>
        <v>Plan 1600</v>
      </c>
      <c r="D6" s="12" cm="1">
        <f t="array" ref="D6">_xlfn.SWITCH($C6,"Plan 1600",15*12/26,"Plan 1400",10*12/26,"Plan 1200",5*12/26,"Plan 1000",1.5*12/26,"")</f>
        <v>6.9230769230769234</v>
      </c>
      <c r="E6" s="12" cm="1">
        <f t="array" ref="E6">_xlfn.SWITCH($C6,"Plan 1600",97*12/26,"Plan 1400",78*12/26,"Plan 1200",60*12/26,"Plan 1000",25*12/26,"")</f>
        <v>44.769230769230766</v>
      </c>
      <c r="F6" s="12" cm="1">
        <f t="array" ref="F6">_xlfn.SWITCH($C6,"Plan 1600",25*12/26,"Plan 1400",20*12/26,"Plan 1200",15*12/26,"Plan 1000",2*12/26,"")</f>
        <v>11.538461538461538</v>
      </c>
      <c r="H6">
        <f>VLOOKUP(A6,'12.22'!A:B,2,FALSE)</f>
        <v>-738.46</v>
      </c>
      <c r="I6" t="str" cm="1">
        <f t="array" ref="I6">_xlfn.IFS(
H6=-738.46,"Plan 1600",
H6=-646.15,"Plan 1400",
H6=-553.85,"Plan 1200",
H6=-461.54,"Plan 1000"
)</f>
        <v>Plan 1600</v>
      </c>
      <c r="J6" s="12" cm="1">
        <f t="array" ref="J6">_xlfn.SWITCH($I6,"Plan 1600",15*12/26,"Plan 1400",10*12/26,"Plan 1200",5*12/26,"Plan 1000",1.5*12/26,"")</f>
        <v>6.9230769230769234</v>
      </c>
      <c r="K6" s="12" cm="1">
        <f t="array" ref="K6">_xlfn.SWITCH($I6,"Plan 1600",97*12/26,"Plan 1400",78*12/26,"Plan 1200",60*12/26,"Plan 1000",25*12/26,"")</f>
        <v>44.769230769230766</v>
      </c>
      <c r="L6" s="12" cm="1">
        <f t="array" ref="L6">_xlfn.SWITCH($I6,"Plan 1600",25*12/26,"Plan 1400",20*12/26,"Plan 1200",15*12/26,"Plan 1000",2*12/26,"")</f>
        <v>11.538461538461538</v>
      </c>
      <c r="N6" s="17" t="s">
        <v>89</v>
      </c>
      <c r="O6" cm="1">
        <f t="array" ref="O6">SUMPRODUCT(--(
 (ISNUMBER(SEARCH("Plan 1000",C2:C47))+ISNUMBER(SEARCH("Plan 1000",I2:I47))=0)*
 (ISNUMBER(SEARCH("Plan 1200",C2:C47))+ISNUMBER(SEARCH("Plan 1400",C2:C47))+ISNUMBER(SEARCH("Plan 1600",C2:C47))&gt;0)*
 (ISNUMBER(SEARCH("Plan 1200",I2:I47))+ISNUMBER(SEARCH("Plan 1400",I2:I47))+ISNUMBER(SEARCH("Plan 1600",I2:I47))&gt;0)
))</f>
        <v>16</v>
      </c>
      <c r="P6" s="12">
        <f>O6*7.5</f>
        <v>120</v>
      </c>
      <c r="Q6" s="12">
        <f>O6*7.5</f>
        <v>120</v>
      </c>
    </row>
    <row r="7" spans="1:18" x14ac:dyDescent="0.25">
      <c r="A7" s="9" t="s">
        <v>20</v>
      </c>
      <c r="B7">
        <f>VLOOKUP(A7,'12.5'!A:B,2,FALSE)</f>
        <v>-646.15</v>
      </c>
      <c r="C7" t="str" cm="1">
        <f t="array" ref="C7">_xlfn.IFS(
B7=-738.46,"Plan 1600",
B7=-646.15,"Plan 1400",
B7=-553.85,"Plan 1200",
B7=-461.54,"Plan 1000"
)</f>
        <v>Plan 1400</v>
      </c>
      <c r="D7" s="12" cm="1">
        <f t="array" ref="D7">_xlfn.SWITCH($C7,"Plan 1600",15*12/26,"Plan 1400",10*12/26,"Plan 1200",5*12/26,"Plan 1000",1.5*12/26,"")</f>
        <v>4.615384615384615</v>
      </c>
      <c r="E7" s="12" cm="1">
        <f t="array" ref="E7">_xlfn.SWITCH($C7,"Plan 1600",97*12/26,"Plan 1400",78*12/26,"Plan 1200",60*12/26,"Plan 1000",25*12/26,"")</f>
        <v>36</v>
      </c>
      <c r="F7" s="12" cm="1">
        <f t="array" ref="F7">_xlfn.SWITCH($C7,"Plan 1600",25*12/26,"Plan 1400",20*12/26,"Plan 1200",15*12/26,"Plan 1000",2*12/26,"")</f>
        <v>9.2307692307692299</v>
      </c>
      <c r="H7">
        <f>VLOOKUP(A7,'12.22'!A:B,2,FALSE)</f>
        <v>-646.15</v>
      </c>
      <c r="I7" t="str" cm="1">
        <f t="array" ref="I7">_xlfn.IFS(
H7=-738.46,"Plan 1600",
H7=-646.15,"Plan 1400",
H7=-553.85,"Plan 1200",
H7=-461.54,"Plan 1000"
)</f>
        <v>Plan 1400</v>
      </c>
      <c r="J7" s="12" cm="1">
        <f t="array" ref="J7">_xlfn.SWITCH($I7,"Plan 1600",15*12/26,"Plan 1400",10*12/26,"Plan 1200",5*12/26,"Plan 1000",1.5*12/26,"")</f>
        <v>4.615384615384615</v>
      </c>
      <c r="K7" s="12" cm="1">
        <f t="array" ref="K7">_xlfn.SWITCH($I7,"Plan 1600",97*12/26,"Plan 1400",78*12/26,"Plan 1200",60*12/26,"Plan 1000",25*12/26,"")</f>
        <v>36</v>
      </c>
      <c r="L7" s="12" cm="1">
        <f t="array" ref="L7">_xlfn.SWITCH($I7,"Plan 1600",25*12/26,"Plan 1400",20*12/26,"Plan 1200",15*12/26,"Plan 1000",2*12/26,"")</f>
        <v>9.2307692307692299</v>
      </c>
      <c r="P7" s="13">
        <f>SUM(P5:P6)</f>
        <v>270</v>
      </c>
      <c r="Q7" s="13">
        <f>SUM(Q5:Q6)</f>
        <v>270</v>
      </c>
      <c r="R7" s="13">
        <f>SUM(P7:Q7)</f>
        <v>540</v>
      </c>
    </row>
    <row r="8" spans="1:18" x14ac:dyDescent="0.25">
      <c r="A8" s="9" t="s">
        <v>23</v>
      </c>
      <c r="B8">
        <f>VLOOKUP(A8,'12.5'!A:B,2,FALSE)</f>
        <v>-646.15</v>
      </c>
      <c r="C8" t="str" cm="1">
        <f t="array" ref="C8">_xlfn.IFS(
B8=-738.46,"Plan 1600",
B8=-646.15,"Plan 1400",
B8=-553.85,"Plan 1200",
B8=-461.54,"Plan 1000"
)</f>
        <v>Plan 1400</v>
      </c>
      <c r="D8" s="12" cm="1">
        <f t="array" ref="D8">_xlfn.SWITCH($C8,"Plan 1600",15*12/26,"Plan 1400",10*12/26,"Plan 1200",5*12/26,"Plan 1000",1.5*12/26,"")</f>
        <v>4.615384615384615</v>
      </c>
      <c r="E8" s="12" cm="1">
        <f t="array" ref="E8">_xlfn.SWITCH($C8,"Plan 1600",97*12/26,"Plan 1400",78*12/26,"Plan 1200",60*12/26,"Plan 1000",25*12/26,"")</f>
        <v>36</v>
      </c>
      <c r="F8" s="12" cm="1">
        <f t="array" ref="F8">_xlfn.SWITCH($C8,"Plan 1600",25*12/26,"Plan 1400",20*12/26,"Plan 1200",15*12/26,"Plan 1000",2*12/26,"")</f>
        <v>9.2307692307692299</v>
      </c>
      <c r="H8">
        <f>VLOOKUP(A8,'12.22'!A:B,2,FALSE)</f>
        <v>-646.15</v>
      </c>
      <c r="I8" t="str" cm="1">
        <f t="array" ref="I8">_xlfn.IFS(
H8=-738.46,"Plan 1600",
H8=-646.15,"Plan 1400",
H8=-553.85,"Plan 1200",
H8=-461.54,"Plan 1000"
)</f>
        <v>Plan 1400</v>
      </c>
      <c r="J8" s="12" cm="1">
        <f t="array" ref="J8">_xlfn.SWITCH($I8,"Plan 1600",15*12/26,"Plan 1400",10*12/26,"Plan 1200",5*12/26,"Plan 1000",1.5*12/26,"")</f>
        <v>4.615384615384615</v>
      </c>
      <c r="K8" s="12" cm="1">
        <f t="array" ref="K8">_xlfn.SWITCH($I8,"Plan 1600",97*12/26,"Plan 1400",78*12/26,"Plan 1200",60*12/26,"Plan 1000",25*12/26,"")</f>
        <v>36</v>
      </c>
      <c r="L8" s="12" cm="1">
        <f t="array" ref="L8">_xlfn.SWITCH($I8,"Plan 1600",25*12/26,"Plan 1400",20*12/26,"Plan 1200",15*12/26,"Plan 1000",2*12/26,"")</f>
        <v>9.2307692307692299</v>
      </c>
    </row>
    <row r="9" spans="1:18" x14ac:dyDescent="0.25">
      <c r="A9" s="9" t="s">
        <v>33</v>
      </c>
      <c r="B9">
        <f>VLOOKUP(A9,'12.5'!A:B,2,FALSE)</f>
        <v>-646.15</v>
      </c>
      <c r="C9" t="str" cm="1">
        <f t="array" ref="C9">_xlfn.IFS(
B9=-738.46,"Plan 1600",
B9=-646.15,"Plan 1400",
B9=-553.85,"Plan 1200",
B9=-461.54,"Plan 1000"
)</f>
        <v>Plan 1400</v>
      </c>
      <c r="D9" s="12" cm="1">
        <f t="array" ref="D9">_xlfn.SWITCH($C9,"Plan 1600",15*12/26,"Plan 1400",10*12/26,"Plan 1200",5*12/26,"Plan 1000",1.5*12/26,"")</f>
        <v>4.615384615384615</v>
      </c>
      <c r="E9" s="12" cm="1">
        <f t="array" ref="E9">_xlfn.SWITCH($C9,"Plan 1600",97*12/26,"Plan 1400",78*12/26,"Plan 1200",60*12/26,"Plan 1000",25*12/26,"")</f>
        <v>36</v>
      </c>
      <c r="F9" s="12" cm="1">
        <f t="array" ref="F9">_xlfn.SWITCH($C9,"Plan 1600",25*12/26,"Plan 1400",20*12/26,"Plan 1200",15*12/26,"Plan 1000",2*12/26,"")</f>
        <v>9.2307692307692299</v>
      </c>
      <c r="H9">
        <f>VLOOKUP(A9,'12.22'!A:B,2,FALSE)</f>
        <v>-646.15</v>
      </c>
      <c r="I9" t="str" cm="1">
        <f t="array" ref="I9">_xlfn.IFS(
H9=-738.46,"Plan 1600",
H9=-646.15,"Plan 1400",
H9=-553.85,"Plan 1200",
H9=-461.54,"Plan 1000"
)</f>
        <v>Plan 1400</v>
      </c>
      <c r="J9" s="12" cm="1">
        <f t="array" ref="J9">_xlfn.SWITCH($I9,"Plan 1600",15*12/26,"Plan 1400",10*12/26,"Plan 1200",5*12/26,"Plan 1000",1.5*12/26,"")</f>
        <v>4.615384615384615</v>
      </c>
      <c r="K9" s="12" cm="1">
        <f t="array" ref="K9">_xlfn.SWITCH($I9,"Plan 1600",97*12/26,"Plan 1400",78*12/26,"Plan 1200",60*12/26,"Plan 1000",25*12/26,"")</f>
        <v>36</v>
      </c>
      <c r="L9" s="12" cm="1">
        <f t="array" ref="L9">_xlfn.SWITCH($I9,"Plan 1600",25*12/26,"Plan 1400",20*12/26,"Plan 1200",15*12/26,"Plan 1000",2*12/26,"")</f>
        <v>9.2307692307692299</v>
      </c>
    </row>
    <row r="10" spans="1:18" x14ac:dyDescent="0.25">
      <c r="A10" s="9" t="s">
        <v>34</v>
      </c>
      <c r="B10">
        <f>VLOOKUP(A10,'12.5'!A:B,2,FALSE)</f>
        <v>-646.15</v>
      </c>
      <c r="C10" t="str" cm="1">
        <f t="array" ref="C10">_xlfn.IFS(
B10=-738.46,"Plan 1600",
B10=-646.15,"Plan 1400",
B10=-553.85,"Plan 1200",
B10=-461.54,"Plan 1000"
)</f>
        <v>Plan 1400</v>
      </c>
      <c r="D10" s="12" cm="1">
        <f t="array" ref="D10">_xlfn.SWITCH($C10,"Plan 1600",15*12/26,"Plan 1400",10*12/26,"Plan 1200",5*12/26,"Plan 1000",1.5*12/26,"")</f>
        <v>4.615384615384615</v>
      </c>
      <c r="E10" s="12" cm="1">
        <f t="array" ref="E10">_xlfn.SWITCH($C10,"Plan 1600",97*12/26,"Plan 1400",78*12/26,"Plan 1200",60*12/26,"Plan 1000",25*12/26,"")</f>
        <v>36</v>
      </c>
      <c r="F10" s="12" cm="1">
        <f t="array" ref="F10">_xlfn.SWITCH($C10,"Plan 1600",25*12/26,"Plan 1400",20*12/26,"Plan 1200",15*12/26,"Plan 1000",2*12/26,"")</f>
        <v>9.2307692307692299</v>
      </c>
      <c r="H10">
        <f>VLOOKUP(A10,'12.22'!A:B,2,FALSE)</f>
        <v>-738.46</v>
      </c>
      <c r="I10" t="str" cm="1">
        <f t="array" ref="I10">_xlfn.IFS(
H10=-738.46,"Plan 1600",
H10=-646.15,"Plan 1400",
H10=-553.85,"Plan 1200",
H10=-461.54,"Plan 1000"
)</f>
        <v>Plan 1600</v>
      </c>
      <c r="J10" s="12" cm="1">
        <f t="array" ref="J10">_xlfn.SWITCH($I10,"Plan 1600",15*12/26,"Plan 1400",10*12/26,"Plan 1200",5*12/26,"Plan 1000",1.5*12/26,"")</f>
        <v>6.9230769230769234</v>
      </c>
      <c r="K10" s="12" cm="1">
        <f t="array" ref="K10">_xlfn.SWITCH($I10,"Plan 1600",97*12/26,"Plan 1400",78*12/26,"Plan 1200",60*12/26,"Plan 1000",25*12/26,"")</f>
        <v>44.769230769230766</v>
      </c>
      <c r="L10" s="12" cm="1">
        <f t="array" ref="L10">_xlfn.SWITCH($I10,"Plan 1600",25*12/26,"Plan 1400",20*12/26,"Plan 1200",15*12/26,"Plan 1000",2*12/26,"")</f>
        <v>11.538461538461538</v>
      </c>
    </row>
    <row r="11" spans="1:18" x14ac:dyDescent="0.25">
      <c r="A11" s="9" t="s">
        <v>37</v>
      </c>
      <c r="B11">
        <f>VLOOKUP(A11,'12.5'!A:B,2,FALSE)</f>
        <v>-646.15</v>
      </c>
      <c r="C11" t="str" cm="1">
        <f t="array" ref="C11">_xlfn.IFS(
B11=-738.46,"Plan 1600",
B11=-646.15,"Plan 1400",
B11=-553.85,"Plan 1200",
B11=-461.54,"Plan 1000"
)</f>
        <v>Plan 1400</v>
      </c>
      <c r="D11" s="12" cm="1">
        <f t="array" ref="D11">_xlfn.SWITCH($C11,"Plan 1600",15*12/26,"Plan 1400",10*12/26,"Plan 1200",5*12/26,"Plan 1000",1.5*12/26,"")</f>
        <v>4.615384615384615</v>
      </c>
      <c r="E11" s="12" cm="1">
        <f t="array" ref="E11">_xlfn.SWITCH($C11,"Plan 1600",97*12/26,"Plan 1400",78*12/26,"Plan 1200",60*12/26,"Plan 1000",25*12/26,"")</f>
        <v>36</v>
      </c>
      <c r="F11" s="12" cm="1">
        <f t="array" ref="F11">_xlfn.SWITCH($C11,"Plan 1600",25*12/26,"Plan 1400",20*12/26,"Plan 1200",15*12/26,"Plan 1000",2*12/26,"")</f>
        <v>9.2307692307692299</v>
      </c>
      <c r="H11">
        <f>VLOOKUP(A11,'12.22'!A:B,2,FALSE)</f>
        <v>-646.15</v>
      </c>
      <c r="I11" t="str" cm="1">
        <f t="array" ref="I11">_xlfn.IFS(
H11=-738.46,"Plan 1600",
H11=-646.15,"Plan 1400",
H11=-553.85,"Plan 1200",
H11=-461.54,"Plan 1000"
)</f>
        <v>Plan 1400</v>
      </c>
      <c r="J11" s="12" cm="1">
        <f t="array" ref="J11">_xlfn.SWITCH($I11,"Plan 1600",15*12/26,"Plan 1400",10*12/26,"Plan 1200",5*12/26,"Plan 1000",1.5*12/26,"")</f>
        <v>4.615384615384615</v>
      </c>
      <c r="K11" s="12" cm="1">
        <f t="array" ref="K11">_xlfn.SWITCH($I11,"Plan 1600",97*12/26,"Plan 1400",78*12/26,"Plan 1200",60*12/26,"Plan 1000",25*12/26,"")</f>
        <v>36</v>
      </c>
      <c r="L11" s="12" cm="1">
        <f t="array" ref="L11">_xlfn.SWITCH($I11,"Plan 1600",25*12/26,"Plan 1400",20*12/26,"Plan 1200",15*12/26,"Plan 1000",2*12/26,"")</f>
        <v>9.2307692307692299</v>
      </c>
    </row>
    <row r="12" spans="1:18" x14ac:dyDescent="0.25">
      <c r="A12" s="9" t="s">
        <v>41</v>
      </c>
      <c r="B12">
        <f>VLOOKUP(A12,'12.5'!A:B,2,FALSE)</f>
        <v>-646.15</v>
      </c>
      <c r="C12" t="str" cm="1">
        <f t="array" ref="C12">_xlfn.IFS(
B12=-738.46,"Plan 1600",
B12=-646.15,"Plan 1400",
B12=-553.85,"Plan 1200",
B12=-461.54,"Plan 1000"
)</f>
        <v>Plan 1400</v>
      </c>
      <c r="D12" s="12" cm="1">
        <f t="array" ref="D12">_xlfn.SWITCH($C12,"Plan 1600",15*12/26,"Plan 1400",10*12/26,"Plan 1200",5*12/26,"Plan 1000",1.5*12/26,"")</f>
        <v>4.615384615384615</v>
      </c>
      <c r="E12" s="12" cm="1">
        <f t="array" ref="E12">_xlfn.SWITCH($C12,"Plan 1600",97*12/26,"Plan 1400",78*12/26,"Plan 1200",60*12/26,"Plan 1000",25*12/26,"")</f>
        <v>36</v>
      </c>
      <c r="F12" s="12" cm="1">
        <f t="array" ref="F12">_xlfn.SWITCH($C12,"Plan 1600",25*12/26,"Plan 1400",20*12/26,"Plan 1200",15*12/26,"Plan 1000",2*12/26,"")</f>
        <v>9.2307692307692299</v>
      </c>
      <c r="H12">
        <f>VLOOKUP(A12,'12.22'!A:B,2,FALSE)</f>
        <v>-646.15</v>
      </c>
      <c r="I12" t="str" cm="1">
        <f t="array" ref="I12">_xlfn.IFS(
H12=-738.46,"Plan 1600",
H12=-646.15,"Plan 1400",
H12=-553.85,"Plan 1200",
H12=-461.54,"Plan 1000"
)</f>
        <v>Plan 1400</v>
      </c>
      <c r="J12" s="12" cm="1">
        <f t="array" ref="J12">_xlfn.SWITCH($I12,"Plan 1600",15*12/26,"Plan 1400",10*12/26,"Plan 1200",5*12/26,"Plan 1000",1.5*12/26,"")</f>
        <v>4.615384615384615</v>
      </c>
      <c r="K12" s="12" cm="1">
        <f t="array" ref="K12">_xlfn.SWITCH($I12,"Plan 1600",97*12/26,"Plan 1400",78*12/26,"Plan 1200",60*12/26,"Plan 1000",25*12/26,"")</f>
        <v>36</v>
      </c>
      <c r="L12" s="12" cm="1">
        <f t="array" ref="L12">_xlfn.SWITCH($I12,"Plan 1600",25*12/26,"Plan 1400",20*12/26,"Plan 1200",15*12/26,"Plan 1000",2*12/26,"")</f>
        <v>9.2307692307692299</v>
      </c>
    </row>
    <row r="13" spans="1:18" x14ac:dyDescent="0.25">
      <c r="A13" s="9" t="s">
        <v>68</v>
      </c>
      <c r="B13">
        <f>VLOOKUP(A13,'12.5'!A:B,2,FALSE)</f>
        <v>-646.15</v>
      </c>
      <c r="C13" t="str" cm="1">
        <f t="array" ref="C13">_xlfn.IFS(
B13=-738.46,"Plan 1600",
B13=-646.15,"Plan 1400",
B13=-553.85,"Plan 1200",
B13=-461.54,"Plan 1000"
)</f>
        <v>Plan 1400</v>
      </c>
      <c r="D13" s="12" cm="1">
        <f t="array" ref="D13">_xlfn.SWITCH($C13,"Plan 1600",15*12/26,"Plan 1400",10*12/26,"Plan 1200",5*12/26,"Plan 1000",1.5*12/26,"")</f>
        <v>4.615384615384615</v>
      </c>
      <c r="E13" s="12" cm="1">
        <f t="array" ref="E13">_xlfn.SWITCH($C13,"Plan 1600",97*12/26,"Plan 1400",78*12/26,"Plan 1200",60*12/26,"Plan 1000",25*12/26,"")</f>
        <v>36</v>
      </c>
      <c r="F13" s="12" cm="1">
        <f t="array" ref="F13">_xlfn.SWITCH($C13,"Plan 1600",25*12/26,"Plan 1400",20*12/26,"Plan 1200",15*12/26,"Plan 1000",2*12/26,"")</f>
        <v>9.2307692307692299</v>
      </c>
      <c r="H13">
        <f>VLOOKUP(A13,'12.22'!A:B,2,FALSE)</f>
        <v>-646.15</v>
      </c>
      <c r="I13" t="str" cm="1">
        <f t="array" ref="I13">_xlfn.IFS(
H13=-738.46,"Plan 1600",
H13=-646.15,"Plan 1400",
H13=-553.85,"Plan 1200",
H13=-461.54,"Plan 1000"
)</f>
        <v>Plan 1400</v>
      </c>
      <c r="J13" s="12" cm="1">
        <f t="array" ref="J13">_xlfn.SWITCH($I13,"Plan 1600",15*12/26,"Plan 1400",10*12/26,"Plan 1200",5*12/26,"Plan 1000",1.5*12/26,"")</f>
        <v>4.615384615384615</v>
      </c>
      <c r="K13" s="12" cm="1">
        <f t="array" ref="K13">_xlfn.SWITCH($I13,"Plan 1600",97*12/26,"Plan 1400",78*12/26,"Plan 1200",60*12/26,"Plan 1000",25*12/26,"")</f>
        <v>36</v>
      </c>
      <c r="L13" s="12" cm="1">
        <f t="array" ref="L13">_xlfn.SWITCH($I13,"Plan 1600",25*12/26,"Plan 1400",20*12/26,"Plan 1200",15*12/26,"Plan 1000",2*12/26,"")</f>
        <v>9.2307692307692299</v>
      </c>
    </row>
    <row r="14" spans="1:18" s="21" customFormat="1" x14ac:dyDescent="0.25">
      <c r="A14" s="20" t="s">
        <v>70</v>
      </c>
      <c r="B14" s="21">
        <f>VLOOKUP(A14,'12.5'!A:B,2,FALSE)</f>
        <v>-646.15</v>
      </c>
      <c r="C14" s="21" t="str" cm="1">
        <f t="array" ref="C14">_xlfn.IFS(
B14=-738.46,"Plan 1600",
B14=-646.15,"Plan 1400",
B14=-553.85,"Plan 1200",
B14=-461.54,"Plan 1000"
)</f>
        <v>Plan 1400</v>
      </c>
      <c r="D14" s="22" cm="1">
        <f t="array" ref="D14">_xlfn.SWITCH($C14,"Plan 1600",15*12/26,"Plan 1400",10*12/26,"Plan 1200",5*12/26,"Plan 1000",1.5*12/26,"")</f>
        <v>4.615384615384615</v>
      </c>
      <c r="E14" s="22" cm="1">
        <f t="array" ref="E14">_xlfn.SWITCH($C14,"Plan 1600",97*12/26,"Plan 1400",78*12/26,"Plan 1200",60*12/26,"Plan 1000",25*12/26,"")</f>
        <v>36</v>
      </c>
      <c r="F14" s="22" cm="1">
        <f t="array" ref="F14">_xlfn.SWITCH($C14,"Plan 1600",25*12/26,"Plan 1400",20*12/26,"Plan 1200",15*12/26,"Plan 1000",2*12/26,"")</f>
        <v>9.2307692307692299</v>
      </c>
      <c r="G14" s="3"/>
      <c r="H14" s="21">
        <f>VLOOKUP(A14,'12.22'!A:B,2,FALSE)</f>
        <v>-461.54</v>
      </c>
      <c r="I14" s="21" t="str" cm="1">
        <f t="array" ref="I14">_xlfn.IFS(
H14=-738.46,"Plan 1600",
H14=-646.15,"Plan 1400",
H14=-553.85,"Plan 1200",
H14=-461.54,"Plan 1000"
)</f>
        <v>Plan 1000</v>
      </c>
      <c r="J14" s="22" cm="1">
        <f t="array" ref="J14">_xlfn.SWITCH($I14,"Plan 1600",15*12/26,"Plan 1400",10*12/26,"Plan 1200",5*12/26,"Plan 1000",1.5*12/26,"")</f>
        <v>0.69230769230769229</v>
      </c>
      <c r="K14" s="22" cm="1">
        <f t="array" ref="K14">_xlfn.SWITCH($I14,"Plan 1600",97*12/26,"Plan 1400",78*12/26,"Plan 1200",60*12/26,"Plan 1000",25*12/26,"")</f>
        <v>11.538461538461538</v>
      </c>
      <c r="L14" s="22" cm="1">
        <f t="array" ref="L14">_xlfn.SWITCH($I14,"Plan 1600",25*12/26,"Plan 1400",20*12/26,"Plan 1200",15*12/26,"Plan 1000",2*12/26,"")</f>
        <v>0.92307692307692313</v>
      </c>
    </row>
    <row r="15" spans="1:18" x14ac:dyDescent="0.25">
      <c r="A15" s="9" t="s">
        <v>30</v>
      </c>
      <c r="B15">
        <f>VLOOKUP(A15,'12.5'!A:B,2,FALSE)</f>
        <v>-553.85</v>
      </c>
      <c r="C15" t="str" cm="1">
        <f t="array" ref="C15">_xlfn.IFS(
B15=-738.46,"Plan 1600",
B15=-646.15,"Plan 1400",
B15=-553.85,"Plan 1200",
B15=-461.54,"Plan 1000"
)</f>
        <v>Plan 1200</v>
      </c>
      <c r="D15" s="12" cm="1">
        <f t="array" ref="D15">_xlfn.SWITCH($C15,"Plan 1600",15*12/26,"Plan 1400",10*12/26,"Plan 1200",5*12/26,"Plan 1000",1.5*12/26,"")</f>
        <v>2.3076923076923075</v>
      </c>
      <c r="E15" s="12" cm="1">
        <f t="array" ref="E15">_xlfn.SWITCH($C15,"Plan 1600",97*12/26,"Plan 1400",78*12/26,"Plan 1200",60*12/26,"Plan 1000",25*12/26,"")</f>
        <v>27.692307692307693</v>
      </c>
      <c r="F15" s="12" cm="1">
        <f t="array" ref="F15">_xlfn.SWITCH($C15,"Plan 1600",25*12/26,"Plan 1400",20*12/26,"Plan 1200",15*12/26,"Plan 1000",2*12/26,"")</f>
        <v>6.9230769230769234</v>
      </c>
      <c r="H15">
        <f>VLOOKUP(A15,'12.22'!A:B,2,FALSE)</f>
        <v>-461.54</v>
      </c>
      <c r="I15" t="str" cm="1">
        <f t="array" ref="I15">_xlfn.IFS(
H15=-738.46,"Plan 1600",
H15=-646.15,"Plan 1400",
H15=-553.85,"Plan 1200",
H15=-461.54,"Plan 1000"
)</f>
        <v>Plan 1000</v>
      </c>
      <c r="J15" s="12" cm="1">
        <f t="array" ref="J15">_xlfn.SWITCH($I15,"Plan 1600",15*12/26,"Plan 1400",10*12/26,"Plan 1200",5*12/26,"Plan 1000",1.5*12/26,"")</f>
        <v>0.69230769230769229</v>
      </c>
      <c r="K15" s="12" cm="1">
        <f t="array" ref="K15">_xlfn.SWITCH($I15,"Plan 1600",97*12/26,"Plan 1400",78*12/26,"Plan 1200",60*12/26,"Plan 1000",25*12/26,"")</f>
        <v>11.538461538461538</v>
      </c>
      <c r="L15" s="12" cm="1">
        <f t="array" ref="L15">_xlfn.SWITCH($I15,"Plan 1600",25*12/26,"Plan 1400",20*12/26,"Plan 1200",15*12/26,"Plan 1000",2*12/26,"")</f>
        <v>0.92307692307692313</v>
      </c>
    </row>
    <row r="16" spans="1:18" x14ac:dyDescent="0.25">
      <c r="A16" s="9" t="s">
        <v>50</v>
      </c>
      <c r="B16">
        <f>VLOOKUP(A16,'12.5'!A:B,2,FALSE)</f>
        <v>-553.85</v>
      </c>
      <c r="C16" t="str" cm="1">
        <f t="array" ref="C16">_xlfn.IFS(
B16=-738.46,"Plan 1600",
B16=-646.15,"Plan 1400",
B16=-553.85,"Plan 1200",
B16=-461.54,"Plan 1000"
)</f>
        <v>Plan 1200</v>
      </c>
      <c r="D16" s="12" cm="1">
        <f t="array" ref="D16">_xlfn.SWITCH($C16,"Plan 1600",15*12/26,"Plan 1400",10*12/26,"Plan 1200",5*12/26,"Plan 1000",1.5*12/26,"")</f>
        <v>2.3076923076923075</v>
      </c>
      <c r="E16" s="12" cm="1">
        <f t="array" ref="E16">_xlfn.SWITCH($C16,"Plan 1600",97*12/26,"Plan 1400",78*12/26,"Plan 1200",60*12/26,"Plan 1000",25*12/26,"")</f>
        <v>27.692307692307693</v>
      </c>
      <c r="F16" s="12" cm="1">
        <f t="array" ref="F16">_xlfn.SWITCH($C16,"Plan 1600",25*12/26,"Plan 1400",20*12/26,"Plan 1200",15*12/26,"Plan 1000",2*12/26,"")</f>
        <v>6.9230769230769234</v>
      </c>
      <c r="H16">
        <f>VLOOKUP(A16,'12.22'!A:B,2,FALSE)</f>
        <v>-553.85</v>
      </c>
      <c r="I16" t="str" cm="1">
        <f t="array" ref="I16">_xlfn.IFS(
H16=-738.46,"Plan 1600",
H16=-646.15,"Plan 1400",
H16=-553.85,"Plan 1200",
H16=-461.54,"Plan 1000"
)</f>
        <v>Plan 1200</v>
      </c>
      <c r="J16" s="12" cm="1">
        <f t="array" ref="J16">_xlfn.SWITCH($I16,"Plan 1600",15*12/26,"Plan 1400",10*12/26,"Plan 1200",5*12/26,"Plan 1000",1.5*12/26,"")</f>
        <v>2.3076923076923075</v>
      </c>
      <c r="K16" s="12" cm="1">
        <f t="array" ref="K16">_xlfn.SWITCH($I16,"Plan 1600",97*12/26,"Plan 1400",78*12/26,"Plan 1200",60*12/26,"Plan 1000",25*12/26,"")</f>
        <v>27.692307692307693</v>
      </c>
      <c r="L16" s="12" cm="1">
        <f t="array" ref="L16">_xlfn.SWITCH($I16,"Plan 1600",25*12/26,"Plan 1400",20*12/26,"Plan 1200",15*12/26,"Plan 1000",2*12/26,"")</f>
        <v>6.9230769230769234</v>
      </c>
    </row>
    <row r="17" spans="1:12" x14ac:dyDescent="0.25">
      <c r="A17" s="9" t="s">
        <v>51</v>
      </c>
      <c r="B17">
        <f>VLOOKUP(A17,'12.5'!A:B,2,FALSE)</f>
        <v>-553.85</v>
      </c>
      <c r="C17" t="str" cm="1">
        <f t="array" ref="C17">_xlfn.IFS(
B17=-738.46,"Plan 1600",
B17=-646.15,"Plan 1400",
B17=-553.85,"Plan 1200",
B17=-461.54,"Plan 1000"
)</f>
        <v>Plan 1200</v>
      </c>
      <c r="D17" s="12" cm="1">
        <f t="array" ref="D17">_xlfn.SWITCH($C17,"Plan 1600",15*12/26,"Plan 1400",10*12/26,"Plan 1200",5*12/26,"Plan 1000",1.5*12/26,"")</f>
        <v>2.3076923076923075</v>
      </c>
      <c r="E17" s="12" cm="1">
        <f t="array" ref="E17">_xlfn.SWITCH($C17,"Plan 1600",97*12/26,"Plan 1400",78*12/26,"Plan 1200",60*12/26,"Plan 1000",25*12/26,"")</f>
        <v>27.692307692307693</v>
      </c>
      <c r="F17" s="12" cm="1">
        <f t="array" ref="F17">_xlfn.SWITCH($C17,"Plan 1600",25*12/26,"Plan 1400",20*12/26,"Plan 1200",15*12/26,"Plan 1000",2*12/26,"")</f>
        <v>6.9230769230769234</v>
      </c>
      <c r="H17">
        <f>VLOOKUP(A17,'12.22'!A:B,2,FALSE)</f>
        <v>-553.85</v>
      </c>
      <c r="I17" t="str" cm="1">
        <f t="array" ref="I17">_xlfn.IFS(
H17=-738.46,"Plan 1600",
H17=-646.15,"Plan 1400",
H17=-553.85,"Plan 1200",
H17=-461.54,"Plan 1000"
)</f>
        <v>Plan 1200</v>
      </c>
      <c r="J17" s="12" cm="1">
        <f t="array" ref="J17">_xlfn.SWITCH($I17,"Plan 1600",15*12/26,"Plan 1400",10*12/26,"Plan 1200",5*12/26,"Plan 1000",1.5*12/26,"")</f>
        <v>2.3076923076923075</v>
      </c>
      <c r="K17" s="12" cm="1">
        <f t="array" ref="K17">_xlfn.SWITCH($I17,"Plan 1600",97*12/26,"Plan 1400",78*12/26,"Plan 1200",60*12/26,"Plan 1000",25*12/26,"")</f>
        <v>27.692307692307693</v>
      </c>
      <c r="L17" s="12" cm="1">
        <f t="array" ref="L17">_xlfn.SWITCH($I17,"Plan 1600",25*12/26,"Plan 1400",20*12/26,"Plan 1200",15*12/26,"Plan 1000",2*12/26,"")</f>
        <v>6.9230769230769234</v>
      </c>
    </row>
    <row r="18" spans="1:12" x14ac:dyDescent="0.25">
      <c r="A18" s="9" t="s">
        <v>53</v>
      </c>
      <c r="B18">
        <f>VLOOKUP(A18,'12.5'!A:B,2,FALSE)</f>
        <v>-553.85</v>
      </c>
      <c r="C18" t="str" cm="1">
        <f t="array" ref="C18">_xlfn.IFS(
B18=-738.46,"Plan 1600",
B18=-646.15,"Plan 1400",
B18=-553.85,"Plan 1200",
B18=-461.54,"Plan 1000"
)</f>
        <v>Plan 1200</v>
      </c>
      <c r="D18" s="12" cm="1">
        <f t="array" ref="D18">_xlfn.SWITCH($C18,"Plan 1600",15*12/26,"Plan 1400",10*12/26,"Plan 1200",5*12/26,"Plan 1000",1.5*12/26,"")</f>
        <v>2.3076923076923075</v>
      </c>
      <c r="E18" s="12" cm="1">
        <f t="array" ref="E18">_xlfn.SWITCH($C18,"Plan 1600",97*12/26,"Plan 1400",78*12/26,"Plan 1200",60*12/26,"Plan 1000",25*12/26,"")</f>
        <v>27.692307692307693</v>
      </c>
      <c r="F18" s="12" cm="1">
        <f t="array" ref="F18">_xlfn.SWITCH($C18,"Plan 1600",25*12/26,"Plan 1400",20*12/26,"Plan 1200",15*12/26,"Plan 1000",2*12/26,"")</f>
        <v>6.9230769230769234</v>
      </c>
      <c r="H18">
        <f>VLOOKUP(A18,'12.22'!A:B,2,FALSE)</f>
        <v>-553.85</v>
      </c>
      <c r="I18" t="str" cm="1">
        <f t="array" ref="I18">_xlfn.IFS(
H18=-738.46,"Plan 1600",
H18=-646.15,"Plan 1400",
H18=-553.85,"Plan 1200",
H18=-461.54,"Plan 1000"
)</f>
        <v>Plan 1200</v>
      </c>
      <c r="J18" s="12" cm="1">
        <f t="array" ref="J18">_xlfn.SWITCH($I18,"Plan 1600",15*12/26,"Plan 1400",10*12/26,"Plan 1200",5*12/26,"Plan 1000",1.5*12/26,"")</f>
        <v>2.3076923076923075</v>
      </c>
      <c r="K18" s="12" cm="1">
        <f t="array" ref="K18">_xlfn.SWITCH($I18,"Plan 1600",97*12/26,"Plan 1400",78*12/26,"Plan 1200",60*12/26,"Plan 1000",25*12/26,"")</f>
        <v>27.692307692307693</v>
      </c>
      <c r="L18" s="12" cm="1">
        <f t="array" ref="L18">_xlfn.SWITCH($I18,"Plan 1600",25*12/26,"Plan 1400",20*12/26,"Plan 1200",15*12/26,"Plan 1000",2*12/26,"")</f>
        <v>6.9230769230769234</v>
      </c>
    </row>
    <row r="19" spans="1:12" x14ac:dyDescent="0.25">
      <c r="A19" s="9" t="s">
        <v>72</v>
      </c>
      <c r="B19">
        <f>VLOOKUP(A19,'12.5'!A:B,2,FALSE)</f>
        <v>-553.85</v>
      </c>
      <c r="C19" t="str" cm="1">
        <f t="array" ref="C19">_xlfn.IFS(
B19=-738.46,"Plan 1600",
B19=-646.15,"Plan 1400",
B19=-553.85,"Plan 1200",
B19=-461.54,"Plan 1000"
)</f>
        <v>Plan 1200</v>
      </c>
      <c r="D19" s="12" cm="1">
        <f t="array" ref="D19">_xlfn.SWITCH($C19,"Plan 1600",15*12/26,"Plan 1400",10*12/26,"Plan 1200",5*12/26,"Plan 1000",1.5*12/26,"")</f>
        <v>2.3076923076923075</v>
      </c>
      <c r="E19" s="12" cm="1">
        <f t="array" ref="E19">_xlfn.SWITCH($C19,"Plan 1600",97*12/26,"Plan 1400",78*12/26,"Plan 1200",60*12/26,"Plan 1000",25*12/26,"")</f>
        <v>27.692307692307693</v>
      </c>
      <c r="F19" s="12" cm="1">
        <f t="array" ref="F19">_xlfn.SWITCH($C19,"Plan 1600",25*12/26,"Plan 1400",20*12/26,"Plan 1200",15*12/26,"Plan 1000",2*12/26,"")</f>
        <v>6.9230769230769234</v>
      </c>
      <c r="H19">
        <f>VLOOKUP(A19,'12.22'!A:B,2,FALSE)</f>
        <v>-646.15</v>
      </c>
      <c r="I19" t="str" cm="1">
        <f t="array" ref="I19">_xlfn.IFS(
H19=-738.46,"Plan 1600",
H19=-646.15,"Plan 1400",
H19=-553.85,"Plan 1200",
H19=-461.54,"Plan 1000"
)</f>
        <v>Plan 1400</v>
      </c>
      <c r="J19" s="12" cm="1">
        <f t="array" ref="J19">_xlfn.SWITCH($I19,"Plan 1600",15*12/26,"Plan 1400",10*12/26,"Plan 1200",5*12/26,"Plan 1000",1.5*12/26,"")</f>
        <v>4.615384615384615</v>
      </c>
      <c r="K19" s="12" cm="1">
        <f t="array" ref="K19">_xlfn.SWITCH($I19,"Plan 1600",97*12/26,"Plan 1400",78*12/26,"Plan 1200",60*12/26,"Plan 1000",25*12/26,"")</f>
        <v>36</v>
      </c>
      <c r="L19" s="12" cm="1">
        <f t="array" ref="L19">_xlfn.SWITCH($I19,"Plan 1600",25*12/26,"Plan 1400",20*12/26,"Plan 1200",15*12/26,"Plan 1000",2*12/26,"")</f>
        <v>9.2307692307692299</v>
      </c>
    </row>
    <row r="20" spans="1:12" x14ac:dyDescent="0.25">
      <c r="A20" s="9" t="s">
        <v>6</v>
      </c>
      <c r="B20">
        <f>VLOOKUP(A20,'12.5'!A:B,2,FALSE)</f>
        <v>-461.54</v>
      </c>
      <c r="C20" t="str" cm="1">
        <f t="array" ref="C20">_xlfn.IFS(
B20=-738.46,"Plan 1600",
B20=-646.15,"Plan 1400",
B20=-553.85,"Plan 1200",
B20=-461.54,"Plan 1000"
)</f>
        <v>Plan 1000</v>
      </c>
      <c r="D20" s="12" cm="1">
        <f t="array" ref="D20">_xlfn.SWITCH($C20,"Plan 1600",15*12/26,"Plan 1400",10*12/26,"Plan 1200",5*12/26,"Plan 1000",1.5*12/26,"")</f>
        <v>0.69230769230769229</v>
      </c>
      <c r="E20" s="12" cm="1">
        <f t="array" ref="E20">_xlfn.SWITCH($C20,"Plan 1600",97*12/26,"Plan 1400",78*12/26,"Plan 1200",60*12/26,"Plan 1000",25*12/26,"")</f>
        <v>11.538461538461538</v>
      </c>
      <c r="F20" s="12" cm="1">
        <f t="array" ref="F20">_xlfn.SWITCH($C20,"Plan 1600",25*12/26,"Plan 1400",20*12/26,"Plan 1200",15*12/26,"Plan 1000",2*12/26,"")</f>
        <v>0.92307692307692313</v>
      </c>
      <c r="H20">
        <f>VLOOKUP(A20,'12.22'!A:B,2,FALSE)</f>
        <v>-461.54</v>
      </c>
      <c r="I20" t="str" cm="1">
        <f t="array" ref="I20">_xlfn.IFS(
H20=-738.46,"Plan 1600",
H20=-646.15,"Plan 1400",
H20=-553.85,"Plan 1200",
H20=-461.54,"Plan 1000"
)</f>
        <v>Plan 1000</v>
      </c>
      <c r="J20" s="12" cm="1">
        <f t="array" ref="J20">_xlfn.SWITCH($I20,"Plan 1600",15*12/26,"Plan 1400",10*12/26,"Plan 1200",5*12/26,"Plan 1000",1.5*12/26,"")</f>
        <v>0.69230769230769229</v>
      </c>
      <c r="K20" s="12" cm="1">
        <f t="array" ref="K20">_xlfn.SWITCH($I20,"Plan 1600",97*12/26,"Plan 1400",78*12/26,"Plan 1200",60*12/26,"Plan 1000",25*12/26,"")</f>
        <v>11.538461538461538</v>
      </c>
      <c r="L20" s="12" cm="1">
        <f t="array" ref="L20">_xlfn.SWITCH($I20,"Plan 1600",25*12/26,"Plan 1400",20*12/26,"Plan 1200",15*12/26,"Plan 1000",2*12/26,"")</f>
        <v>0.92307692307692313</v>
      </c>
    </row>
    <row r="21" spans="1:12" x14ac:dyDescent="0.25">
      <c r="A21" s="9" t="s">
        <v>7</v>
      </c>
      <c r="B21">
        <f>VLOOKUP(A21,'12.5'!A:B,2,FALSE)</f>
        <v>-461.54</v>
      </c>
      <c r="C21" t="str" cm="1">
        <f t="array" ref="C21">_xlfn.IFS(
B21=-738.46,"Plan 1600",
B21=-646.15,"Plan 1400",
B21=-553.85,"Plan 1200",
B21=-461.54,"Plan 1000"
)</f>
        <v>Plan 1000</v>
      </c>
      <c r="D21" s="12" cm="1">
        <f t="array" ref="D21">_xlfn.SWITCH($C21,"Plan 1600",15*12/26,"Plan 1400",10*12/26,"Plan 1200",5*12/26,"Plan 1000",1.5*12/26,"")</f>
        <v>0.69230769230769229</v>
      </c>
      <c r="E21" s="12" cm="1">
        <f t="array" ref="E21">_xlfn.SWITCH($C21,"Plan 1600",97*12/26,"Plan 1400",78*12/26,"Plan 1200",60*12/26,"Plan 1000",25*12/26,"")</f>
        <v>11.538461538461538</v>
      </c>
      <c r="F21" s="12" cm="1">
        <f t="array" ref="F21">_xlfn.SWITCH($C21,"Plan 1600",25*12/26,"Plan 1400",20*12/26,"Plan 1200",15*12/26,"Plan 1000",2*12/26,"")</f>
        <v>0.92307692307692313</v>
      </c>
      <c r="H21">
        <f>VLOOKUP(A21,'12.22'!A:B,2,FALSE)</f>
        <v>-461.54</v>
      </c>
      <c r="I21" t="str" cm="1">
        <f t="array" ref="I21">_xlfn.IFS(
H21=-738.46,"Plan 1600",
H21=-646.15,"Plan 1400",
H21=-553.85,"Plan 1200",
H21=-461.54,"Plan 1000"
)</f>
        <v>Plan 1000</v>
      </c>
      <c r="J21" s="12" cm="1">
        <f t="array" ref="J21">_xlfn.SWITCH($I21,"Plan 1600",15*12/26,"Plan 1400",10*12/26,"Plan 1200",5*12/26,"Plan 1000",1.5*12/26,"")</f>
        <v>0.69230769230769229</v>
      </c>
      <c r="K21" s="12" cm="1">
        <f t="array" ref="K21">_xlfn.SWITCH($I21,"Plan 1600",97*12/26,"Plan 1400",78*12/26,"Plan 1200",60*12/26,"Plan 1000",25*12/26,"")</f>
        <v>11.538461538461538</v>
      </c>
      <c r="L21" s="12" cm="1">
        <f t="array" ref="L21">_xlfn.SWITCH($I21,"Plan 1600",25*12/26,"Plan 1400",20*12/26,"Plan 1200",15*12/26,"Plan 1000",2*12/26,"")</f>
        <v>0.92307692307692313</v>
      </c>
    </row>
    <row r="22" spans="1:12" x14ac:dyDescent="0.25">
      <c r="A22" s="9" t="s">
        <v>8</v>
      </c>
      <c r="B22">
        <f>VLOOKUP(A22,'12.5'!A:B,2,FALSE)</f>
        <v>-461.54</v>
      </c>
      <c r="C22" t="str" cm="1">
        <f t="array" ref="C22">_xlfn.IFS(
B22=-738.46,"Plan 1600",
B22=-646.15,"Plan 1400",
B22=-553.85,"Plan 1200",
B22=-461.54,"Plan 1000"
)</f>
        <v>Plan 1000</v>
      </c>
      <c r="D22" s="12" cm="1">
        <f t="array" ref="D22">_xlfn.SWITCH($C22,"Plan 1600",15*12/26,"Plan 1400",10*12/26,"Plan 1200",5*12/26,"Plan 1000",1.5*12/26,"")</f>
        <v>0.69230769230769229</v>
      </c>
      <c r="E22" s="12" cm="1">
        <f t="array" ref="E22">_xlfn.SWITCH($C22,"Plan 1600",97*12/26,"Plan 1400",78*12/26,"Plan 1200",60*12/26,"Plan 1000",25*12/26,"")</f>
        <v>11.538461538461538</v>
      </c>
      <c r="F22" s="12" cm="1">
        <f t="array" ref="F22">_xlfn.SWITCH($C22,"Plan 1600",25*12/26,"Plan 1400",20*12/26,"Plan 1200",15*12/26,"Plan 1000",2*12/26,"")</f>
        <v>0.92307692307692313</v>
      </c>
      <c r="H22">
        <f>VLOOKUP(A22,'12.22'!A:B,2,FALSE)</f>
        <v>-461.54</v>
      </c>
      <c r="I22" t="str" cm="1">
        <f t="array" ref="I22">_xlfn.IFS(
H22=-738.46,"Plan 1600",
H22=-646.15,"Plan 1400",
H22=-553.85,"Plan 1200",
H22=-461.54,"Plan 1000"
)</f>
        <v>Plan 1000</v>
      </c>
      <c r="J22" s="12" cm="1">
        <f t="array" ref="J22">_xlfn.SWITCH($I22,"Plan 1600",15*12/26,"Plan 1400",10*12/26,"Plan 1200",5*12/26,"Plan 1000",1.5*12/26,"")</f>
        <v>0.69230769230769229</v>
      </c>
      <c r="K22" s="12" cm="1">
        <f t="array" ref="K22">_xlfn.SWITCH($I22,"Plan 1600",97*12/26,"Plan 1400",78*12/26,"Plan 1200",60*12/26,"Plan 1000",25*12/26,"")</f>
        <v>11.538461538461538</v>
      </c>
      <c r="L22" s="12" cm="1">
        <f t="array" ref="L22">_xlfn.SWITCH($I22,"Plan 1600",25*12/26,"Plan 1400",20*12/26,"Plan 1200",15*12/26,"Plan 1000",2*12/26,"")</f>
        <v>0.92307692307692313</v>
      </c>
    </row>
    <row r="23" spans="1:12" x14ac:dyDescent="0.25">
      <c r="A23" s="9" t="s">
        <v>13</v>
      </c>
      <c r="B23">
        <f>VLOOKUP(A23,'12.5'!A:B,2,FALSE)</f>
        <v>-461.54</v>
      </c>
      <c r="C23" t="str" cm="1">
        <f t="array" ref="C23">_xlfn.IFS(
B23=-738.46,"Plan 1600",
B23=-646.15,"Plan 1400",
B23=-553.85,"Plan 1200",
B23=-461.54,"Plan 1000"
)</f>
        <v>Plan 1000</v>
      </c>
      <c r="D23" s="12" cm="1">
        <f t="array" ref="D23">_xlfn.SWITCH($C23,"Plan 1600",15*12/26,"Plan 1400",10*12/26,"Plan 1200",5*12/26,"Plan 1000",1.5*12/26,"")</f>
        <v>0.69230769230769229</v>
      </c>
      <c r="E23" s="12" cm="1">
        <f t="array" ref="E23">_xlfn.SWITCH($C23,"Plan 1600",97*12/26,"Plan 1400",78*12/26,"Plan 1200",60*12/26,"Plan 1000",25*12/26,"")</f>
        <v>11.538461538461538</v>
      </c>
      <c r="F23" s="12" cm="1">
        <f t="array" ref="F23">_xlfn.SWITCH($C23,"Plan 1600",25*12/26,"Plan 1400",20*12/26,"Plan 1200",15*12/26,"Plan 1000",2*12/26,"")</f>
        <v>0.92307692307692313</v>
      </c>
      <c r="H23">
        <f>VLOOKUP(A23,'12.22'!A:B,2,FALSE)</f>
        <v>-461.54</v>
      </c>
      <c r="I23" t="str" cm="1">
        <f t="array" ref="I23">_xlfn.IFS(
H23=-738.46,"Plan 1600",
H23=-646.15,"Plan 1400",
H23=-553.85,"Plan 1200",
H23=-461.54,"Plan 1000"
)</f>
        <v>Plan 1000</v>
      </c>
      <c r="J23" s="12" cm="1">
        <f t="array" ref="J23">_xlfn.SWITCH($I23,"Plan 1600",15*12/26,"Plan 1400",10*12/26,"Plan 1200",5*12/26,"Plan 1000",1.5*12/26,"")</f>
        <v>0.69230769230769229</v>
      </c>
      <c r="K23" s="12" cm="1">
        <f t="array" ref="K23">_xlfn.SWITCH($I23,"Plan 1600",97*12/26,"Plan 1400",78*12/26,"Plan 1200",60*12/26,"Plan 1000",25*12/26,"")</f>
        <v>11.538461538461538</v>
      </c>
      <c r="L23" s="12" cm="1">
        <f t="array" ref="L23">_xlfn.SWITCH($I23,"Plan 1600",25*12/26,"Plan 1400",20*12/26,"Plan 1200",15*12/26,"Plan 1000",2*12/26,"")</f>
        <v>0.92307692307692313</v>
      </c>
    </row>
    <row r="24" spans="1:12" x14ac:dyDescent="0.25">
      <c r="A24" s="9" t="s">
        <v>14</v>
      </c>
      <c r="B24">
        <f>VLOOKUP(A24,'12.5'!A:B,2,FALSE)</f>
        <v>-461.54</v>
      </c>
      <c r="C24" t="str" cm="1">
        <f t="array" ref="C24">_xlfn.IFS(
B24=-738.46,"Plan 1600",
B24=-646.15,"Plan 1400",
B24=-553.85,"Plan 1200",
B24=-461.54,"Plan 1000"
)</f>
        <v>Plan 1000</v>
      </c>
      <c r="D24" s="12" cm="1">
        <f t="array" ref="D24">_xlfn.SWITCH($C24,"Plan 1600",15*12/26,"Plan 1400",10*12/26,"Plan 1200",5*12/26,"Plan 1000",1.5*12/26,"")</f>
        <v>0.69230769230769229</v>
      </c>
      <c r="E24" s="12" cm="1">
        <f t="array" ref="E24">_xlfn.SWITCH($C24,"Plan 1600",97*12/26,"Plan 1400",78*12/26,"Plan 1200",60*12/26,"Plan 1000",25*12/26,"")</f>
        <v>11.538461538461538</v>
      </c>
      <c r="F24" s="12" cm="1">
        <f t="array" ref="F24">_xlfn.SWITCH($C24,"Plan 1600",25*12/26,"Plan 1400",20*12/26,"Plan 1200",15*12/26,"Plan 1000",2*12/26,"")</f>
        <v>0.92307692307692313</v>
      </c>
      <c r="H24">
        <f>VLOOKUP(A24,'12.22'!A:B,2,FALSE)</f>
        <v>-461.54</v>
      </c>
      <c r="I24" t="str" cm="1">
        <f t="array" ref="I24">_xlfn.IFS(
H24=-738.46,"Plan 1600",
H24=-646.15,"Plan 1400",
H24=-553.85,"Plan 1200",
H24=-461.54,"Plan 1000"
)</f>
        <v>Plan 1000</v>
      </c>
      <c r="J24" s="12" cm="1">
        <f t="array" ref="J24">_xlfn.SWITCH($I24,"Plan 1600",15*12/26,"Plan 1400",10*12/26,"Plan 1200",5*12/26,"Plan 1000",1.5*12/26,"")</f>
        <v>0.69230769230769229</v>
      </c>
      <c r="K24" s="12" cm="1">
        <f t="array" ref="K24">_xlfn.SWITCH($I24,"Plan 1600",97*12/26,"Plan 1400",78*12/26,"Plan 1200",60*12/26,"Plan 1000",25*12/26,"")</f>
        <v>11.538461538461538</v>
      </c>
      <c r="L24" s="12" cm="1">
        <f t="array" ref="L24">_xlfn.SWITCH($I24,"Plan 1600",25*12/26,"Plan 1400",20*12/26,"Plan 1200",15*12/26,"Plan 1000",2*12/26,"")</f>
        <v>0.92307692307692313</v>
      </c>
    </row>
    <row r="25" spans="1:12" x14ac:dyDescent="0.25">
      <c r="A25" s="9" t="s">
        <v>18</v>
      </c>
      <c r="B25">
        <f>VLOOKUP(A25,'12.5'!A:B,2,FALSE)</f>
        <v>-461.54</v>
      </c>
      <c r="C25" t="str" cm="1">
        <f t="array" ref="C25">_xlfn.IFS(
B25=-738.46,"Plan 1600",
B25=-646.15,"Plan 1400",
B25=-553.85,"Plan 1200",
B25=-461.54,"Plan 1000"
)</f>
        <v>Plan 1000</v>
      </c>
      <c r="D25" s="12" cm="1">
        <f t="array" ref="D25">_xlfn.SWITCH($C25,"Plan 1600",15*12/26,"Plan 1400",10*12/26,"Plan 1200",5*12/26,"Plan 1000",1.5*12/26,"")</f>
        <v>0.69230769230769229</v>
      </c>
      <c r="E25" s="12" cm="1">
        <f t="array" ref="E25">_xlfn.SWITCH($C25,"Plan 1600",97*12/26,"Plan 1400",78*12/26,"Plan 1200",60*12/26,"Plan 1000",25*12/26,"")</f>
        <v>11.538461538461538</v>
      </c>
      <c r="F25" s="12" cm="1">
        <f t="array" ref="F25">_xlfn.SWITCH($C25,"Plan 1600",25*12/26,"Plan 1400",20*12/26,"Plan 1200",15*12/26,"Plan 1000",2*12/26,"")</f>
        <v>0.92307692307692313</v>
      </c>
      <c r="H25">
        <f>VLOOKUP(A25,'12.22'!A:B,2,FALSE)</f>
        <v>-461.54</v>
      </c>
      <c r="I25" t="str" cm="1">
        <f t="array" ref="I25">_xlfn.IFS(
H25=-738.46,"Plan 1600",
H25=-646.15,"Plan 1400",
H25=-553.85,"Plan 1200",
H25=-461.54,"Plan 1000"
)</f>
        <v>Plan 1000</v>
      </c>
      <c r="J25" s="12" cm="1">
        <f t="array" ref="J25">_xlfn.SWITCH($I25,"Plan 1600",15*12/26,"Plan 1400",10*12/26,"Plan 1200",5*12/26,"Plan 1000",1.5*12/26,"")</f>
        <v>0.69230769230769229</v>
      </c>
      <c r="K25" s="12" cm="1">
        <f t="array" ref="K25">_xlfn.SWITCH($I25,"Plan 1600",97*12/26,"Plan 1400",78*12/26,"Plan 1200",60*12/26,"Plan 1000",25*12/26,"")</f>
        <v>11.538461538461538</v>
      </c>
      <c r="L25" s="12" cm="1">
        <f t="array" ref="L25">_xlfn.SWITCH($I25,"Plan 1600",25*12/26,"Plan 1400",20*12/26,"Plan 1200",15*12/26,"Plan 1000",2*12/26,"")</f>
        <v>0.92307692307692313</v>
      </c>
    </row>
    <row r="26" spans="1:12" x14ac:dyDescent="0.25">
      <c r="A26" s="9" t="s">
        <v>19</v>
      </c>
      <c r="B26">
        <f>VLOOKUP(A26,'12.5'!A:B,2,FALSE)</f>
        <v>-461.54</v>
      </c>
      <c r="C26" t="str" cm="1">
        <f t="array" ref="C26">_xlfn.IFS(
B26=-738.46,"Plan 1600",
B26=-646.15,"Plan 1400",
B26=-553.85,"Plan 1200",
B26=-461.54,"Plan 1000"
)</f>
        <v>Plan 1000</v>
      </c>
      <c r="D26" s="12" cm="1">
        <f t="array" ref="D26">_xlfn.SWITCH($C26,"Plan 1600",15*12/26,"Plan 1400",10*12/26,"Plan 1200",5*12/26,"Plan 1000",1.5*12/26,"")</f>
        <v>0.69230769230769229</v>
      </c>
      <c r="E26" s="12" cm="1">
        <f t="array" ref="E26">_xlfn.SWITCH($C26,"Plan 1600",97*12/26,"Plan 1400",78*12/26,"Plan 1200",60*12/26,"Plan 1000",25*12/26,"")</f>
        <v>11.538461538461538</v>
      </c>
      <c r="F26" s="12" cm="1">
        <f t="array" ref="F26">_xlfn.SWITCH($C26,"Plan 1600",25*12/26,"Plan 1400",20*12/26,"Plan 1200",15*12/26,"Plan 1000",2*12/26,"")</f>
        <v>0.92307692307692313</v>
      </c>
      <c r="H26">
        <f>VLOOKUP(A26,'12.22'!A:B,2,FALSE)</f>
        <v>-461.54</v>
      </c>
      <c r="I26" t="str" cm="1">
        <f t="array" ref="I26">_xlfn.IFS(
H26=-738.46,"Plan 1600",
H26=-646.15,"Plan 1400",
H26=-553.85,"Plan 1200",
H26=-461.54,"Plan 1000"
)</f>
        <v>Plan 1000</v>
      </c>
      <c r="J26" s="12" cm="1">
        <f t="array" ref="J26">_xlfn.SWITCH($I26,"Plan 1600",15*12/26,"Plan 1400",10*12/26,"Plan 1200",5*12/26,"Plan 1000",1.5*12/26,"")</f>
        <v>0.69230769230769229</v>
      </c>
      <c r="K26" s="12" cm="1">
        <f t="array" ref="K26">_xlfn.SWITCH($I26,"Plan 1600",97*12/26,"Plan 1400",78*12/26,"Plan 1200",60*12/26,"Plan 1000",25*12/26,"")</f>
        <v>11.538461538461538</v>
      </c>
      <c r="L26" s="12" cm="1">
        <f t="array" ref="L26">_xlfn.SWITCH($I26,"Plan 1600",25*12/26,"Plan 1400",20*12/26,"Plan 1200",15*12/26,"Plan 1000",2*12/26,"")</f>
        <v>0.92307692307692313</v>
      </c>
    </row>
    <row r="27" spans="1:12" x14ac:dyDescent="0.25">
      <c r="A27" s="9" t="s">
        <v>21</v>
      </c>
      <c r="B27">
        <f>VLOOKUP(A27,'12.5'!A:B,2,FALSE)</f>
        <v>-461.54</v>
      </c>
      <c r="C27" t="str" cm="1">
        <f t="array" ref="C27">_xlfn.IFS(
B27=-738.46,"Plan 1600",
B27=-646.15,"Plan 1400",
B27=-553.85,"Plan 1200",
B27=-461.54,"Plan 1000"
)</f>
        <v>Plan 1000</v>
      </c>
      <c r="D27" s="12" cm="1">
        <f t="array" ref="D27">_xlfn.SWITCH($C27,"Plan 1600",15*12/26,"Plan 1400",10*12/26,"Plan 1200",5*12/26,"Plan 1000",1.5*12/26,"")</f>
        <v>0.69230769230769229</v>
      </c>
      <c r="E27" s="12" cm="1">
        <f t="array" ref="E27">_xlfn.SWITCH($C27,"Plan 1600",97*12/26,"Plan 1400",78*12/26,"Plan 1200",60*12/26,"Plan 1000",25*12/26,"")</f>
        <v>11.538461538461538</v>
      </c>
      <c r="F27" s="12" cm="1">
        <f t="array" ref="F27">_xlfn.SWITCH($C27,"Plan 1600",25*12/26,"Plan 1400",20*12/26,"Plan 1200",15*12/26,"Plan 1000",2*12/26,"")</f>
        <v>0.92307692307692313</v>
      </c>
      <c r="H27">
        <f>VLOOKUP(A27,'12.22'!A:B,2,FALSE)</f>
        <v>-461.54</v>
      </c>
      <c r="I27" t="str" cm="1">
        <f t="array" ref="I27">_xlfn.IFS(
H27=-738.46,"Plan 1600",
H27=-646.15,"Plan 1400",
H27=-553.85,"Plan 1200",
H27=-461.54,"Plan 1000"
)</f>
        <v>Plan 1000</v>
      </c>
      <c r="J27" s="12" cm="1">
        <f t="array" ref="J27">_xlfn.SWITCH($I27,"Plan 1600",15*12/26,"Plan 1400",10*12/26,"Plan 1200",5*12/26,"Plan 1000",1.5*12/26,"")</f>
        <v>0.69230769230769229</v>
      </c>
      <c r="K27" s="12" cm="1">
        <f t="array" ref="K27">_xlfn.SWITCH($I27,"Plan 1600",97*12/26,"Plan 1400",78*12/26,"Plan 1200",60*12/26,"Plan 1000",25*12/26,"")</f>
        <v>11.538461538461538</v>
      </c>
      <c r="L27" s="12" cm="1">
        <f t="array" ref="L27">_xlfn.SWITCH($I27,"Plan 1600",25*12/26,"Plan 1400",20*12/26,"Plan 1200",15*12/26,"Plan 1000",2*12/26,"")</f>
        <v>0.92307692307692313</v>
      </c>
    </row>
    <row r="28" spans="1:12" x14ac:dyDescent="0.25">
      <c r="A28" s="9" t="s">
        <v>22</v>
      </c>
      <c r="B28">
        <f>VLOOKUP(A28,'12.5'!A:B,2,FALSE)</f>
        <v>-461.54</v>
      </c>
      <c r="C28" t="str" cm="1">
        <f t="array" ref="C28">_xlfn.IFS(
B28=-738.46,"Plan 1600",
B28=-646.15,"Plan 1400",
B28=-553.85,"Plan 1200",
B28=-461.54,"Plan 1000"
)</f>
        <v>Plan 1000</v>
      </c>
      <c r="D28" s="12" cm="1">
        <f t="array" ref="D28">_xlfn.SWITCH($C28,"Plan 1600",15*12/26,"Plan 1400",10*12/26,"Plan 1200",5*12/26,"Plan 1000",1.5*12/26,"")</f>
        <v>0.69230769230769229</v>
      </c>
      <c r="E28" s="12" cm="1">
        <f t="array" ref="E28">_xlfn.SWITCH($C28,"Plan 1600",97*12/26,"Plan 1400",78*12/26,"Plan 1200",60*12/26,"Plan 1000",25*12/26,"")</f>
        <v>11.538461538461538</v>
      </c>
      <c r="F28" s="12" cm="1">
        <f t="array" ref="F28">_xlfn.SWITCH($C28,"Plan 1600",25*12/26,"Plan 1400",20*12/26,"Plan 1200",15*12/26,"Plan 1000",2*12/26,"")</f>
        <v>0.92307692307692313</v>
      </c>
      <c r="H28">
        <f>VLOOKUP(A28,'12.22'!A:B,2,FALSE)</f>
        <v>-461.54</v>
      </c>
      <c r="I28" t="str" cm="1">
        <f t="array" ref="I28">_xlfn.IFS(
H28=-738.46,"Plan 1600",
H28=-646.15,"Plan 1400",
H28=-553.85,"Plan 1200",
H28=-461.54,"Plan 1000"
)</f>
        <v>Plan 1000</v>
      </c>
      <c r="J28" s="12" cm="1">
        <f t="array" ref="J28">_xlfn.SWITCH($I28,"Plan 1600",15*12/26,"Plan 1400",10*12/26,"Plan 1200",5*12/26,"Plan 1000",1.5*12/26,"")</f>
        <v>0.69230769230769229</v>
      </c>
      <c r="K28" s="12" cm="1">
        <f t="array" ref="K28">_xlfn.SWITCH($I28,"Plan 1600",97*12/26,"Plan 1400",78*12/26,"Plan 1200",60*12/26,"Plan 1000",25*12/26,"")</f>
        <v>11.538461538461538</v>
      </c>
      <c r="L28" s="12" cm="1">
        <f t="array" ref="L28">_xlfn.SWITCH($I28,"Plan 1600",25*12/26,"Plan 1400",20*12/26,"Plan 1200",15*12/26,"Plan 1000",2*12/26,"")</f>
        <v>0.92307692307692313</v>
      </c>
    </row>
    <row r="29" spans="1:12" x14ac:dyDescent="0.25">
      <c r="A29" s="9" t="s">
        <v>28</v>
      </c>
      <c r="B29">
        <f>VLOOKUP(A29,'12.5'!A:B,2,FALSE)</f>
        <v>-461.54</v>
      </c>
      <c r="C29" t="str" cm="1">
        <f t="array" ref="C29">_xlfn.IFS(
B29=-738.46,"Plan 1600",
B29=-646.15,"Plan 1400",
B29=-553.85,"Plan 1200",
B29=-461.54,"Plan 1000"
)</f>
        <v>Plan 1000</v>
      </c>
      <c r="D29" s="12" cm="1">
        <f t="array" ref="D29">_xlfn.SWITCH($C29,"Plan 1600",15*12/26,"Plan 1400",10*12/26,"Plan 1200",5*12/26,"Plan 1000",1.5*12/26,"")</f>
        <v>0.69230769230769229</v>
      </c>
      <c r="E29" s="12" cm="1">
        <f t="array" ref="E29">_xlfn.SWITCH($C29,"Plan 1600",97*12/26,"Plan 1400",78*12/26,"Plan 1200",60*12/26,"Plan 1000",25*12/26,"")</f>
        <v>11.538461538461538</v>
      </c>
      <c r="F29" s="12" cm="1">
        <f t="array" ref="F29">_xlfn.SWITCH($C29,"Plan 1600",25*12/26,"Plan 1400",20*12/26,"Plan 1200",15*12/26,"Plan 1000",2*12/26,"")</f>
        <v>0.92307692307692313</v>
      </c>
      <c r="H29">
        <f>VLOOKUP(A29,'12.22'!A:B,2,FALSE)</f>
        <v>-461.54</v>
      </c>
      <c r="I29" t="str" cm="1">
        <f t="array" ref="I29">_xlfn.IFS(
H29=-738.46,"Plan 1600",
H29=-646.15,"Plan 1400",
H29=-553.85,"Plan 1200",
H29=-461.54,"Plan 1000"
)</f>
        <v>Plan 1000</v>
      </c>
      <c r="J29" s="12" cm="1">
        <f t="array" ref="J29">_xlfn.SWITCH($I29,"Plan 1600",15*12/26,"Plan 1400",10*12/26,"Plan 1200",5*12/26,"Plan 1000",1.5*12/26,"")</f>
        <v>0.69230769230769229</v>
      </c>
      <c r="K29" s="12" cm="1">
        <f t="array" ref="K29">_xlfn.SWITCH($I29,"Plan 1600",97*12/26,"Plan 1400",78*12/26,"Plan 1200",60*12/26,"Plan 1000",25*12/26,"")</f>
        <v>11.538461538461538</v>
      </c>
      <c r="L29" s="12" cm="1">
        <f t="array" ref="L29">_xlfn.SWITCH($I29,"Plan 1600",25*12/26,"Plan 1400",20*12/26,"Plan 1200",15*12/26,"Plan 1000",2*12/26,"")</f>
        <v>0.92307692307692313</v>
      </c>
    </row>
    <row r="30" spans="1:12" x14ac:dyDescent="0.25">
      <c r="A30" s="9" t="s">
        <v>31</v>
      </c>
      <c r="B30">
        <f>VLOOKUP(A30,'12.5'!A:B,2,FALSE)</f>
        <v>-461.54</v>
      </c>
      <c r="C30" t="str" cm="1">
        <f t="array" ref="C30">_xlfn.IFS(
B30=-738.46,"Plan 1600",
B30=-646.15,"Plan 1400",
B30=-553.85,"Plan 1200",
B30=-461.54,"Plan 1000"
)</f>
        <v>Plan 1000</v>
      </c>
      <c r="D30" s="12" cm="1">
        <f t="array" ref="D30">_xlfn.SWITCH($C30,"Plan 1600",15*12/26,"Plan 1400",10*12/26,"Plan 1200",5*12/26,"Plan 1000",1.5*12/26,"")</f>
        <v>0.69230769230769229</v>
      </c>
      <c r="E30" s="12" cm="1">
        <f t="array" ref="E30">_xlfn.SWITCH($C30,"Plan 1600",97*12/26,"Plan 1400",78*12/26,"Plan 1200",60*12/26,"Plan 1000",25*12/26,"")</f>
        <v>11.538461538461538</v>
      </c>
      <c r="F30" s="12" cm="1">
        <f t="array" ref="F30">_xlfn.SWITCH($C30,"Plan 1600",25*12/26,"Plan 1400",20*12/26,"Plan 1200",15*12/26,"Plan 1000",2*12/26,"")</f>
        <v>0.92307692307692313</v>
      </c>
      <c r="H30">
        <f>VLOOKUP(A30,'12.22'!A:B,2,FALSE)</f>
        <v>-461.54</v>
      </c>
      <c r="I30" t="str" cm="1">
        <f t="array" ref="I30">_xlfn.IFS(
H30=-738.46,"Plan 1600",
H30=-646.15,"Plan 1400",
H30=-553.85,"Plan 1200",
H30=-461.54,"Plan 1000"
)</f>
        <v>Plan 1000</v>
      </c>
      <c r="J30" s="12" cm="1">
        <f t="array" ref="J30">_xlfn.SWITCH($I30,"Plan 1600",15*12/26,"Plan 1400",10*12/26,"Plan 1200",5*12/26,"Plan 1000",1.5*12/26,"")</f>
        <v>0.69230769230769229</v>
      </c>
      <c r="K30" s="12" cm="1">
        <f t="array" ref="K30">_xlfn.SWITCH($I30,"Plan 1600",97*12/26,"Plan 1400",78*12/26,"Plan 1200",60*12/26,"Plan 1000",25*12/26,"")</f>
        <v>11.538461538461538</v>
      </c>
      <c r="L30" s="12" cm="1">
        <f t="array" ref="L30">_xlfn.SWITCH($I30,"Plan 1600",25*12/26,"Plan 1400",20*12/26,"Plan 1200",15*12/26,"Plan 1000",2*12/26,"")</f>
        <v>0.92307692307692313</v>
      </c>
    </row>
    <row r="31" spans="1:12" x14ac:dyDescent="0.25">
      <c r="A31" s="9" t="s">
        <v>32</v>
      </c>
      <c r="B31">
        <f>VLOOKUP(A31,'12.5'!A:B,2,FALSE)</f>
        <v>-461.54</v>
      </c>
      <c r="C31" t="str" cm="1">
        <f t="array" ref="C31">_xlfn.IFS(
B31=-738.46,"Plan 1600",
B31=-646.15,"Plan 1400",
B31=-553.85,"Plan 1200",
B31=-461.54,"Plan 1000"
)</f>
        <v>Plan 1000</v>
      </c>
      <c r="D31" s="12" cm="1">
        <f t="array" ref="D31">_xlfn.SWITCH($C31,"Plan 1600",15*12/26,"Plan 1400",10*12/26,"Plan 1200",5*12/26,"Plan 1000",1.5*12/26,"")</f>
        <v>0.69230769230769229</v>
      </c>
      <c r="E31" s="12" cm="1">
        <f t="array" ref="E31">_xlfn.SWITCH($C31,"Plan 1600",97*12/26,"Plan 1400",78*12/26,"Plan 1200",60*12/26,"Plan 1000",25*12/26,"")</f>
        <v>11.538461538461538</v>
      </c>
      <c r="F31" s="12" cm="1">
        <f t="array" ref="F31">_xlfn.SWITCH($C31,"Plan 1600",25*12/26,"Plan 1400",20*12/26,"Plan 1200",15*12/26,"Plan 1000",2*12/26,"")</f>
        <v>0.92307692307692313</v>
      </c>
      <c r="H31">
        <f>VLOOKUP(A31,'12.22'!A:B,2,FALSE)</f>
        <v>-461.54</v>
      </c>
      <c r="I31" t="str" cm="1">
        <f t="array" ref="I31">_xlfn.IFS(
H31=-738.46,"Plan 1600",
H31=-646.15,"Plan 1400",
H31=-553.85,"Plan 1200",
H31=-461.54,"Plan 1000"
)</f>
        <v>Plan 1000</v>
      </c>
      <c r="J31" s="12" cm="1">
        <f t="array" ref="J31">_xlfn.SWITCH($I31,"Plan 1600",15*12/26,"Plan 1400",10*12/26,"Plan 1200",5*12/26,"Plan 1000",1.5*12/26,"")</f>
        <v>0.69230769230769229</v>
      </c>
      <c r="K31" s="12" cm="1">
        <f t="array" ref="K31">_xlfn.SWITCH($I31,"Plan 1600",97*12/26,"Plan 1400",78*12/26,"Plan 1200",60*12/26,"Plan 1000",25*12/26,"")</f>
        <v>11.538461538461538</v>
      </c>
      <c r="L31" s="12" cm="1">
        <f t="array" ref="L31">_xlfn.SWITCH($I31,"Plan 1600",25*12/26,"Plan 1400",20*12/26,"Plan 1200",15*12/26,"Plan 1000",2*12/26,"")</f>
        <v>0.92307692307692313</v>
      </c>
    </row>
    <row r="32" spans="1:12" x14ac:dyDescent="0.25">
      <c r="A32" s="9" t="s">
        <v>38</v>
      </c>
      <c r="B32">
        <f>VLOOKUP(A32,'12.5'!A:B,2,FALSE)</f>
        <v>-461.54</v>
      </c>
      <c r="C32" t="str" cm="1">
        <f t="array" ref="C32">_xlfn.IFS(
B32=-738.46,"Plan 1600",
B32=-646.15,"Plan 1400",
B32=-553.85,"Plan 1200",
B32=-461.54,"Plan 1000"
)</f>
        <v>Plan 1000</v>
      </c>
      <c r="D32" s="12" cm="1">
        <f t="array" ref="D32">_xlfn.SWITCH($C32,"Plan 1600",15*12/26,"Plan 1400",10*12/26,"Plan 1200",5*12/26,"Plan 1000",1.5*12/26,"")</f>
        <v>0.69230769230769229</v>
      </c>
      <c r="E32" s="12" cm="1">
        <f t="array" ref="E32">_xlfn.SWITCH($C32,"Plan 1600",97*12/26,"Plan 1400",78*12/26,"Plan 1200",60*12/26,"Plan 1000",25*12/26,"")</f>
        <v>11.538461538461538</v>
      </c>
      <c r="F32" s="12" cm="1">
        <f t="array" ref="F32">_xlfn.SWITCH($C32,"Plan 1600",25*12/26,"Plan 1400",20*12/26,"Plan 1200",15*12/26,"Plan 1000",2*12/26,"")</f>
        <v>0.92307692307692313</v>
      </c>
      <c r="H32">
        <f>VLOOKUP(A32,'12.22'!A:B,2,FALSE)</f>
        <v>-461.54</v>
      </c>
      <c r="I32" t="str" cm="1">
        <f t="array" ref="I32">_xlfn.IFS(
H32=-738.46,"Plan 1600",
H32=-646.15,"Plan 1400",
H32=-553.85,"Plan 1200",
H32=-461.54,"Plan 1000"
)</f>
        <v>Plan 1000</v>
      </c>
      <c r="J32" s="12" cm="1">
        <f t="array" ref="J32">_xlfn.SWITCH($I32,"Plan 1600",15*12/26,"Plan 1400",10*12/26,"Plan 1200",5*12/26,"Plan 1000",1.5*12/26,"")</f>
        <v>0.69230769230769229</v>
      </c>
      <c r="K32" s="12" cm="1">
        <f t="array" ref="K32">_xlfn.SWITCH($I32,"Plan 1600",97*12/26,"Plan 1400",78*12/26,"Plan 1200",60*12/26,"Plan 1000",25*12/26,"")</f>
        <v>11.538461538461538</v>
      </c>
      <c r="L32" s="12" cm="1">
        <f t="array" ref="L32">_xlfn.SWITCH($I32,"Plan 1600",25*12/26,"Plan 1400",20*12/26,"Plan 1200",15*12/26,"Plan 1000",2*12/26,"")</f>
        <v>0.92307692307692313</v>
      </c>
    </row>
    <row r="33" spans="1:12" x14ac:dyDescent="0.25">
      <c r="A33" s="9" t="s">
        <v>44</v>
      </c>
      <c r="B33">
        <f>VLOOKUP(A33,'12.5'!A:B,2,FALSE)</f>
        <v>-461.54</v>
      </c>
      <c r="C33" t="str" cm="1">
        <f t="array" ref="C33">_xlfn.IFS(
B33=-738.46,"Plan 1600",
B33=-646.15,"Plan 1400",
B33=-553.85,"Plan 1200",
B33=-461.54,"Plan 1000"
)</f>
        <v>Plan 1000</v>
      </c>
      <c r="D33" s="12" cm="1">
        <f t="array" ref="D33">_xlfn.SWITCH($C33,"Plan 1600",15*12/26,"Plan 1400",10*12/26,"Plan 1200",5*12/26,"Plan 1000",1.5*12/26,"")</f>
        <v>0.69230769230769229</v>
      </c>
      <c r="E33" s="12" cm="1">
        <f t="array" ref="E33">_xlfn.SWITCH($C33,"Plan 1600",97*12/26,"Plan 1400",78*12/26,"Plan 1200",60*12/26,"Plan 1000",25*12/26,"")</f>
        <v>11.538461538461538</v>
      </c>
      <c r="F33" s="12" cm="1">
        <f t="array" ref="F33">_xlfn.SWITCH($C33,"Plan 1600",25*12/26,"Plan 1400",20*12/26,"Plan 1200",15*12/26,"Plan 1000",2*12/26,"")</f>
        <v>0.92307692307692313</v>
      </c>
      <c r="H33">
        <f>VLOOKUP(A33,'12.22'!A:B,2,FALSE)</f>
        <v>-461.54</v>
      </c>
      <c r="I33" t="str" cm="1">
        <f t="array" ref="I33">_xlfn.IFS(
H33=-738.46,"Plan 1600",
H33=-646.15,"Plan 1400",
H33=-553.85,"Plan 1200",
H33=-461.54,"Plan 1000"
)</f>
        <v>Plan 1000</v>
      </c>
      <c r="J33" s="12" cm="1">
        <f t="array" ref="J33">_xlfn.SWITCH($I33,"Plan 1600",15*12/26,"Plan 1400",10*12/26,"Plan 1200",5*12/26,"Plan 1000",1.5*12/26,"")</f>
        <v>0.69230769230769229</v>
      </c>
      <c r="K33" s="12" cm="1">
        <f t="array" ref="K33">_xlfn.SWITCH($I33,"Plan 1600",97*12/26,"Plan 1400",78*12/26,"Plan 1200",60*12/26,"Plan 1000",25*12/26,"")</f>
        <v>11.538461538461538</v>
      </c>
      <c r="L33" s="12" cm="1">
        <f t="array" ref="L33">_xlfn.SWITCH($I33,"Plan 1600",25*12/26,"Plan 1400",20*12/26,"Plan 1200",15*12/26,"Plan 1000",2*12/26,"")</f>
        <v>0.92307692307692313</v>
      </c>
    </row>
    <row r="34" spans="1:12" x14ac:dyDescent="0.25">
      <c r="A34" s="9" t="s">
        <v>45</v>
      </c>
      <c r="B34">
        <f>VLOOKUP(A34,'12.5'!A:B,2,FALSE)</f>
        <v>-461.54</v>
      </c>
      <c r="C34" t="str" cm="1">
        <f t="array" ref="C34">_xlfn.IFS(
B34=-738.46,"Plan 1600",
B34=-646.15,"Plan 1400",
B34=-553.85,"Plan 1200",
B34=-461.54,"Plan 1000"
)</f>
        <v>Plan 1000</v>
      </c>
      <c r="D34" s="12" cm="1">
        <f t="array" ref="D34">_xlfn.SWITCH($C34,"Plan 1600",15*12/26,"Plan 1400",10*12/26,"Plan 1200",5*12/26,"Plan 1000",1.5*12/26,"")</f>
        <v>0.69230769230769229</v>
      </c>
      <c r="E34" s="12" cm="1">
        <f t="array" ref="E34">_xlfn.SWITCH($C34,"Plan 1600",97*12/26,"Plan 1400",78*12/26,"Plan 1200",60*12/26,"Plan 1000",25*12/26,"")</f>
        <v>11.538461538461538</v>
      </c>
      <c r="F34" s="12" cm="1">
        <f t="array" ref="F34">_xlfn.SWITCH($C34,"Plan 1600",25*12/26,"Plan 1400",20*12/26,"Plan 1200",15*12/26,"Plan 1000",2*12/26,"")</f>
        <v>0.92307692307692313</v>
      </c>
      <c r="H34">
        <f>VLOOKUP(A34,'12.22'!A:B,2,FALSE)</f>
        <v>-461.54</v>
      </c>
      <c r="I34" t="str" cm="1">
        <f t="array" ref="I34">_xlfn.IFS(
H34=-738.46,"Plan 1600",
H34=-646.15,"Plan 1400",
H34=-553.85,"Plan 1200",
H34=-461.54,"Plan 1000"
)</f>
        <v>Plan 1000</v>
      </c>
      <c r="J34" s="12" cm="1">
        <f t="array" ref="J34">_xlfn.SWITCH($I34,"Plan 1600",15*12/26,"Plan 1400",10*12/26,"Plan 1200",5*12/26,"Plan 1000",1.5*12/26,"")</f>
        <v>0.69230769230769229</v>
      </c>
      <c r="K34" s="12" cm="1">
        <f t="array" ref="K34">_xlfn.SWITCH($I34,"Plan 1600",97*12/26,"Plan 1400",78*12/26,"Plan 1200",60*12/26,"Plan 1000",25*12/26,"")</f>
        <v>11.538461538461538</v>
      </c>
      <c r="L34" s="12" cm="1">
        <f t="array" ref="L34">_xlfn.SWITCH($I34,"Plan 1600",25*12/26,"Plan 1400",20*12/26,"Plan 1200",15*12/26,"Plan 1000",2*12/26,"")</f>
        <v>0.92307692307692313</v>
      </c>
    </row>
    <row r="35" spans="1:12" x14ac:dyDescent="0.25">
      <c r="A35" s="9" t="s">
        <v>46</v>
      </c>
      <c r="B35">
        <f>VLOOKUP(A35,'12.5'!A:B,2,FALSE)</f>
        <v>-461.54</v>
      </c>
      <c r="C35" t="str" cm="1">
        <f t="array" ref="C35">_xlfn.IFS(
B35=-738.46,"Plan 1600",
B35=-646.15,"Plan 1400",
B35=-553.85,"Plan 1200",
B35=-461.54,"Plan 1000"
)</f>
        <v>Plan 1000</v>
      </c>
      <c r="D35" s="12" cm="1">
        <f t="array" ref="D35">_xlfn.SWITCH($C35,"Plan 1600",15*12/26,"Plan 1400",10*12/26,"Plan 1200",5*12/26,"Plan 1000",1.5*12/26,"")</f>
        <v>0.69230769230769229</v>
      </c>
      <c r="E35" s="12" cm="1">
        <f t="array" ref="E35">_xlfn.SWITCH($C35,"Plan 1600",97*12/26,"Plan 1400",78*12/26,"Plan 1200",60*12/26,"Plan 1000",25*12/26,"")</f>
        <v>11.538461538461538</v>
      </c>
      <c r="F35" s="12" cm="1">
        <f t="array" ref="F35">_xlfn.SWITCH($C35,"Plan 1600",25*12/26,"Plan 1400",20*12/26,"Plan 1200",15*12/26,"Plan 1000",2*12/26,"")</f>
        <v>0.92307692307692313</v>
      </c>
      <c r="H35">
        <f>VLOOKUP(A35,'12.22'!A:B,2,FALSE)</f>
        <v>-461.54</v>
      </c>
      <c r="I35" t="str" cm="1">
        <f t="array" ref="I35">_xlfn.IFS(
H35=-738.46,"Plan 1600",
H35=-646.15,"Plan 1400",
H35=-553.85,"Plan 1200",
H35=-461.54,"Plan 1000"
)</f>
        <v>Plan 1000</v>
      </c>
      <c r="J35" s="12" cm="1">
        <f t="array" ref="J35">_xlfn.SWITCH($I35,"Plan 1600",15*12/26,"Plan 1400",10*12/26,"Plan 1200",5*12/26,"Plan 1000",1.5*12/26,"")</f>
        <v>0.69230769230769229</v>
      </c>
      <c r="K35" s="12" cm="1">
        <f t="array" ref="K35">_xlfn.SWITCH($I35,"Plan 1600",97*12/26,"Plan 1400",78*12/26,"Plan 1200",60*12/26,"Plan 1000",25*12/26,"")</f>
        <v>11.538461538461538</v>
      </c>
      <c r="L35" s="12" cm="1">
        <f t="array" ref="L35">_xlfn.SWITCH($I35,"Plan 1600",25*12/26,"Plan 1400",20*12/26,"Plan 1200",15*12/26,"Plan 1000",2*12/26,"")</f>
        <v>0.92307692307692313</v>
      </c>
    </row>
    <row r="36" spans="1:12" x14ac:dyDescent="0.25">
      <c r="A36" s="9" t="s">
        <v>47</v>
      </c>
      <c r="B36">
        <f>VLOOKUP(A36,'12.5'!A:B,2,FALSE)</f>
        <v>-461.54</v>
      </c>
      <c r="C36" t="str" cm="1">
        <f t="array" ref="C36">_xlfn.IFS(
B36=-738.46,"Plan 1600",
B36=-646.15,"Plan 1400",
B36=-553.85,"Plan 1200",
B36=-461.54,"Plan 1000"
)</f>
        <v>Plan 1000</v>
      </c>
      <c r="D36" s="12" cm="1">
        <f t="array" ref="D36">_xlfn.SWITCH($C36,"Plan 1600",15*12/26,"Plan 1400",10*12/26,"Plan 1200",5*12/26,"Plan 1000",1.5*12/26,"")</f>
        <v>0.69230769230769229</v>
      </c>
      <c r="E36" s="12" cm="1">
        <f t="array" ref="E36">_xlfn.SWITCH($C36,"Plan 1600",97*12/26,"Plan 1400",78*12/26,"Plan 1200",60*12/26,"Plan 1000",25*12/26,"")</f>
        <v>11.538461538461538</v>
      </c>
      <c r="F36" s="12" cm="1">
        <f t="array" ref="F36">_xlfn.SWITCH($C36,"Plan 1600",25*12/26,"Plan 1400",20*12/26,"Plan 1200",15*12/26,"Plan 1000",2*12/26,"")</f>
        <v>0.92307692307692313</v>
      </c>
      <c r="H36">
        <f>VLOOKUP(A36,'12.22'!A:B,2,FALSE)</f>
        <v>-461.54</v>
      </c>
      <c r="I36" t="str" cm="1">
        <f t="array" ref="I36">_xlfn.IFS(
H36=-738.46,"Plan 1600",
H36=-646.15,"Plan 1400",
H36=-553.85,"Plan 1200",
H36=-461.54,"Plan 1000"
)</f>
        <v>Plan 1000</v>
      </c>
      <c r="J36" s="12" cm="1">
        <f t="array" ref="J36">_xlfn.SWITCH($I36,"Plan 1600",15*12/26,"Plan 1400",10*12/26,"Plan 1200",5*12/26,"Plan 1000",1.5*12/26,"")</f>
        <v>0.69230769230769229</v>
      </c>
      <c r="K36" s="12" cm="1">
        <f t="array" ref="K36">_xlfn.SWITCH($I36,"Plan 1600",97*12/26,"Plan 1400",78*12/26,"Plan 1200",60*12/26,"Plan 1000",25*12/26,"")</f>
        <v>11.538461538461538</v>
      </c>
      <c r="L36" s="12" cm="1">
        <f t="array" ref="L36">_xlfn.SWITCH($I36,"Plan 1600",25*12/26,"Plan 1400",20*12/26,"Plan 1200",15*12/26,"Plan 1000",2*12/26,"")</f>
        <v>0.92307692307692313</v>
      </c>
    </row>
    <row r="37" spans="1:12" x14ac:dyDescent="0.25">
      <c r="A37" s="9" t="s">
        <v>48</v>
      </c>
      <c r="B37">
        <f>VLOOKUP(A37,'12.5'!A:B,2,FALSE)</f>
        <v>-461.54</v>
      </c>
      <c r="C37" t="str" cm="1">
        <f t="array" ref="C37">_xlfn.IFS(
B37=-738.46,"Plan 1600",
B37=-646.15,"Plan 1400",
B37=-553.85,"Plan 1200",
B37=-461.54,"Plan 1000"
)</f>
        <v>Plan 1000</v>
      </c>
      <c r="D37" s="12" cm="1">
        <f t="array" ref="D37">_xlfn.SWITCH($C37,"Plan 1600",15*12/26,"Plan 1400",10*12/26,"Plan 1200",5*12/26,"Plan 1000",1.5*12/26,"")</f>
        <v>0.69230769230769229</v>
      </c>
      <c r="E37" s="12" cm="1">
        <f t="array" ref="E37">_xlfn.SWITCH($C37,"Plan 1600",97*12/26,"Plan 1400",78*12/26,"Plan 1200",60*12/26,"Plan 1000",25*12/26,"")</f>
        <v>11.538461538461538</v>
      </c>
      <c r="F37" s="12" cm="1">
        <f t="array" ref="F37">_xlfn.SWITCH($C37,"Plan 1600",25*12/26,"Plan 1400",20*12/26,"Plan 1200",15*12/26,"Plan 1000",2*12/26,"")</f>
        <v>0.92307692307692313</v>
      </c>
      <c r="H37">
        <f>VLOOKUP(A37,'12.22'!A:B,2,FALSE)</f>
        <v>-461.54</v>
      </c>
      <c r="I37" t="str" cm="1">
        <f t="array" ref="I37">_xlfn.IFS(
H37=-738.46,"Plan 1600",
H37=-646.15,"Plan 1400",
H37=-553.85,"Plan 1200",
H37=-461.54,"Plan 1000"
)</f>
        <v>Plan 1000</v>
      </c>
      <c r="J37" s="12" cm="1">
        <f t="array" ref="J37">_xlfn.SWITCH($I37,"Plan 1600",15*12/26,"Plan 1400",10*12/26,"Plan 1200",5*12/26,"Plan 1000",1.5*12/26,"")</f>
        <v>0.69230769230769229</v>
      </c>
      <c r="K37" s="12" cm="1">
        <f t="array" ref="K37">_xlfn.SWITCH($I37,"Plan 1600",97*12/26,"Plan 1400",78*12/26,"Plan 1200",60*12/26,"Plan 1000",25*12/26,"")</f>
        <v>11.538461538461538</v>
      </c>
      <c r="L37" s="12" cm="1">
        <f t="array" ref="L37">_xlfn.SWITCH($I37,"Plan 1600",25*12/26,"Plan 1400",20*12/26,"Plan 1200",15*12/26,"Plan 1000",2*12/26,"")</f>
        <v>0.92307692307692313</v>
      </c>
    </row>
    <row r="38" spans="1:12" x14ac:dyDescent="0.25">
      <c r="A38" s="9" t="s">
        <v>52</v>
      </c>
      <c r="B38">
        <f>VLOOKUP(A38,'12.5'!A:B,2,FALSE)</f>
        <v>-461.54</v>
      </c>
      <c r="C38" t="str" cm="1">
        <f t="array" ref="C38">_xlfn.IFS(
B38=-738.46,"Plan 1600",
B38=-646.15,"Plan 1400",
B38=-553.85,"Plan 1200",
B38=-461.54,"Plan 1000"
)</f>
        <v>Plan 1000</v>
      </c>
      <c r="D38" s="12" cm="1">
        <f t="array" ref="D38">_xlfn.SWITCH($C38,"Plan 1600",15*12/26,"Plan 1400",10*12/26,"Plan 1200",5*12/26,"Plan 1000",1.5*12/26,"")</f>
        <v>0.69230769230769229</v>
      </c>
      <c r="E38" s="12" cm="1">
        <f t="array" ref="E38">_xlfn.SWITCH($C38,"Plan 1600",97*12/26,"Plan 1400",78*12/26,"Plan 1200",60*12/26,"Plan 1000",25*12/26,"")</f>
        <v>11.538461538461538</v>
      </c>
      <c r="F38" s="12" cm="1">
        <f t="array" ref="F38">_xlfn.SWITCH($C38,"Plan 1600",25*12/26,"Plan 1400",20*12/26,"Plan 1200",15*12/26,"Plan 1000",2*12/26,"")</f>
        <v>0.92307692307692313</v>
      </c>
      <c r="H38">
        <f>VLOOKUP(A38,'12.22'!A:B,2,FALSE)</f>
        <v>-461.54</v>
      </c>
      <c r="I38" t="str" cm="1">
        <f t="array" ref="I38">_xlfn.IFS(
H38=-738.46,"Plan 1600",
H38=-646.15,"Plan 1400",
H38=-553.85,"Plan 1200",
H38=-461.54,"Plan 1000"
)</f>
        <v>Plan 1000</v>
      </c>
      <c r="J38" s="12" cm="1">
        <f t="array" ref="J38">_xlfn.SWITCH($I38,"Plan 1600",15*12/26,"Plan 1400",10*12/26,"Plan 1200",5*12/26,"Plan 1000",1.5*12/26,"")</f>
        <v>0.69230769230769229</v>
      </c>
      <c r="K38" s="12" cm="1">
        <f t="array" ref="K38">_xlfn.SWITCH($I38,"Plan 1600",97*12/26,"Plan 1400",78*12/26,"Plan 1200",60*12/26,"Plan 1000",25*12/26,"")</f>
        <v>11.538461538461538</v>
      </c>
      <c r="L38" s="12" cm="1">
        <f t="array" ref="L38">_xlfn.SWITCH($I38,"Plan 1600",25*12/26,"Plan 1400",20*12/26,"Plan 1200",15*12/26,"Plan 1000",2*12/26,"")</f>
        <v>0.92307692307692313</v>
      </c>
    </row>
    <row r="39" spans="1:12" x14ac:dyDescent="0.25">
      <c r="A39" s="9" t="s">
        <v>54</v>
      </c>
      <c r="B39">
        <f>VLOOKUP(A39,'12.5'!A:B,2,FALSE)</f>
        <v>-461.54</v>
      </c>
      <c r="C39" t="str" cm="1">
        <f t="array" ref="C39">_xlfn.IFS(
B39=-738.46,"Plan 1600",
B39=-646.15,"Plan 1400",
B39=-553.85,"Plan 1200",
B39=-461.54,"Plan 1000"
)</f>
        <v>Plan 1000</v>
      </c>
      <c r="D39" s="12" cm="1">
        <f t="array" ref="D39">_xlfn.SWITCH($C39,"Plan 1600",15*12/26,"Plan 1400",10*12/26,"Plan 1200",5*12/26,"Plan 1000",1.5*12/26,"")</f>
        <v>0.69230769230769229</v>
      </c>
      <c r="E39" s="12" cm="1">
        <f t="array" ref="E39">_xlfn.SWITCH($C39,"Plan 1600",97*12/26,"Plan 1400",78*12/26,"Plan 1200",60*12/26,"Plan 1000",25*12/26,"")</f>
        <v>11.538461538461538</v>
      </c>
      <c r="F39" s="12" cm="1">
        <f t="array" ref="F39">_xlfn.SWITCH($C39,"Plan 1600",25*12/26,"Plan 1400",20*12/26,"Plan 1200",15*12/26,"Plan 1000",2*12/26,"")</f>
        <v>0.92307692307692313</v>
      </c>
      <c r="H39">
        <f>VLOOKUP(A39,'12.22'!A:B,2,FALSE)</f>
        <v>-461.54</v>
      </c>
      <c r="I39" t="str" cm="1">
        <f t="array" ref="I39">_xlfn.IFS(
H39=-738.46,"Plan 1600",
H39=-646.15,"Plan 1400",
H39=-553.85,"Plan 1200",
H39=-461.54,"Plan 1000"
)</f>
        <v>Plan 1000</v>
      </c>
      <c r="J39" s="12" cm="1">
        <f t="array" ref="J39">_xlfn.SWITCH($I39,"Plan 1600",15*12/26,"Plan 1400",10*12/26,"Plan 1200",5*12/26,"Plan 1000",1.5*12/26,"")</f>
        <v>0.69230769230769229</v>
      </c>
      <c r="K39" s="12" cm="1">
        <f t="array" ref="K39">_xlfn.SWITCH($I39,"Plan 1600",97*12/26,"Plan 1400",78*12/26,"Plan 1200",60*12/26,"Plan 1000",25*12/26,"")</f>
        <v>11.538461538461538</v>
      </c>
      <c r="L39" s="12" cm="1">
        <f t="array" ref="L39">_xlfn.SWITCH($I39,"Plan 1600",25*12/26,"Plan 1400",20*12/26,"Plan 1200",15*12/26,"Plan 1000",2*12/26,"")</f>
        <v>0.92307692307692313</v>
      </c>
    </row>
    <row r="40" spans="1:12" x14ac:dyDescent="0.25">
      <c r="A40" s="9" t="s">
        <v>55</v>
      </c>
      <c r="B40">
        <f>VLOOKUP(A40,'12.5'!A:B,2,FALSE)</f>
        <v>-461.54</v>
      </c>
      <c r="C40" t="str" cm="1">
        <f t="array" ref="C40">_xlfn.IFS(
B40=-738.46,"Plan 1600",
B40=-646.15,"Plan 1400",
B40=-553.85,"Plan 1200",
B40=-461.54,"Plan 1000"
)</f>
        <v>Plan 1000</v>
      </c>
      <c r="D40" s="12" cm="1">
        <f t="array" ref="D40">_xlfn.SWITCH($C40,"Plan 1600",15*12/26,"Plan 1400",10*12/26,"Plan 1200",5*12/26,"Plan 1000",1.5*12/26,"")</f>
        <v>0.69230769230769229</v>
      </c>
      <c r="E40" s="12" cm="1">
        <f t="array" ref="E40">_xlfn.SWITCH($C40,"Plan 1600",97*12/26,"Plan 1400",78*12/26,"Plan 1200",60*12/26,"Plan 1000",25*12/26,"")</f>
        <v>11.538461538461538</v>
      </c>
      <c r="F40" s="12" cm="1">
        <f t="array" ref="F40">_xlfn.SWITCH($C40,"Plan 1600",25*12/26,"Plan 1400",20*12/26,"Plan 1200",15*12/26,"Plan 1000",2*12/26,"")</f>
        <v>0.92307692307692313</v>
      </c>
      <c r="H40">
        <f>VLOOKUP(A40,'12.22'!A:B,2,FALSE)</f>
        <v>-461.54</v>
      </c>
      <c r="I40" t="str" cm="1">
        <f t="array" ref="I40">_xlfn.IFS(
H40=-738.46,"Plan 1600",
H40=-646.15,"Plan 1400",
H40=-553.85,"Plan 1200",
H40=-461.54,"Plan 1000"
)</f>
        <v>Plan 1000</v>
      </c>
      <c r="J40" s="12" cm="1">
        <f t="array" ref="J40">_xlfn.SWITCH($I40,"Plan 1600",15*12/26,"Plan 1400",10*12/26,"Plan 1200",5*12/26,"Plan 1000",1.5*12/26,"")</f>
        <v>0.69230769230769229</v>
      </c>
      <c r="K40" s="12" cm="1">
        <f t="array" ref="K40">_xlfn.SWITCH($I40,"Plan 1600",97*12/26,"Plan 1400",78*12/26,"Plan 1200",60*12/26,"Plan 1000",25*12/26,"")</f>
        <v>11.538461538461538</v>
      </c>
      <c r="L40" s="12" cm="1">
        <f t="array" ref="L40">_xlfn.SWITCH($I40,"Plan 1600",25*12/26,"Plan 1400",20*12/26,"Plan 1200",15*12/26,"Plan 1000",2*12/26,"")</f>
        <v>0.92307692307692313</v>
      </c>
    </row>
    <row r="41" spans="1:12" x14ac:dyDescent="0.25">
      <c r="A41" s="9" t="s">
        <v>56</v>
      </c>
      <c r="B41">
        <f>VLOOKUP(A41,'12.5'!A:B,2,FALSE)</f>
        <v>-461.54</v>
      </c>
      <c r="C41" t="str" cm="1">
        <f t="array" ref="C41">_xlfn.IFS(
B41=-738.46,"Plan 1600",
B41=-646.15,"Plan 1400",
B41=-553.85,"Plan 1200",
B41=-461.54,"Plan 1000"
)</f>
        <v>Plan 1000</v>
      </c>
      <c r="D41" s="12" cm="1">
        <f t="array" ref="D41">_xlfn.SWITCH($C41,"Plan 1600",15*12/26,"Plan 1400",10*12/26,"Plan 1200",5*12/26,"Plan 1000",1.5*12/26,"")</f>
        <v>0.69230769230769229</v>
      </c>
      <c r="E41" s="12" cm="1">
        <f t="array" ref="E41">_xlfn.SWITCH($C41,"Plan 1600",97*12/26,"Plan 1400",78*12/26,"Plan 1200",60*12/26,"Plan 1000",25*12/26,"")</f>
        <v>11.538461538461538</v>
      </c>
      <c r="F41" s="12" cm="1">
        <f t="array" ref="F41">_xlfn.SWITCH($C41,"Plan 1600",25*12/26,"Plan 1400",20*12/26,"Plan 1200",15*12/26,"Plan 1000",2*12/26,"")</f>
        <v>0.92307692307692313</v>
      </c>
      <c r="H41">
        <f>VLOOKUP(A41,'12.22'!A:B,2,FALSE)</f>
        <v>-461.54</v>
      </c>
      <c r="I41" t="str" cm="1">
        <f t="array" ref="I41">_xlfn.IFS(
H41=-738.46,"Plan 1600",
H41=-646.15,"Plan 1400",
H41=-553.85,"Plan 1200",
H41=-461.54,"Plan 1000"
)</f>
        <v>Plan 1000</v>
      </c>
      <c r="J41" s="12" cm="1">
        <f t="array" ref="J41">_xlfn.SWITCH($I41,"Plan 1600",15*12/26,"Plan 1400",10*12/26,"Plan 1200",5*12/26,"Plan 1000",1.5*12/26,"")</f>
        <v>0.69230769230769229</v>
      </c>
      <c r="K41" s="12" cm="1">
        <f t="array" ref="K41">_xlfn.SWITCH($I41,"Plan 1600",97*12/26,"Plan 1400",78*12/26,"Plan 1200",60*12/26,"Plan 1000",25*12/26,"")</f>
        <v>11.538461538461538</v>
      </c>
      <c r="L41" s="12" cm="1">
        <f t="array" ref="L41">_xlfn.SWITCH($I41,"Plan 1600",25*12/26,"Plan 1400",20*12/26,"Plan 1200",15*12/26,"Plan 1000",2*12/26,"")</f>
        <v>0.92307692307692313</v>
      </c>
    </row>
    <row r="42" spans="1:12" x14ac:dyDescent="0.25">
      <c r="A42" s="9" t="s">
        <v>57</v>
      </c>
      <c r="B42">
        <f>VLOOKUP(A42,'12.5'!A:B,2,FALSE)</f>
        <v>-461.54</v>
      </c>
      <c r="C42" t="str" cm="1">
        <f t="array" ref="C42">_xlfn.IFS(
B42=-738.46,"Plan 1600",
B42=-646.15,"Plan 1400",
B42=-553.85,"Plan 1200",
B42=-461.54,"Plan 1000"
)</f>
        <v>Plan 1000</v>
      </c>
      <c r="D42" s="12" cm="1">
        <f t="array" ref="D42">_xlfn.SWITCH($C42,"Plan 1600",15*12/26,"Plan 1400",10*12/26,"Plan 1200",5*12/26,"Plan 1000",1.5*12/26,"")</f>
        <v>0.69230769230769229</v>
      </c>
      <c r="E42" s="12" cm="1">
        <f t="array" ref="E42">_xlfn.SWITCH($C42,"Plan 1600",97*12/26,"Plan 1400",78*12/26,"Plan 1200",60*12/26,"Plan 1000",25*12/26,"")</f>
        <v>11.538461538461538</v>
      </c>
      <c r="F42" s="12" cm="1">
        <f t="array" ref="F42">_xlfn.SWITCH($C42,"Plan 1600",25*12/26,"Plan 1400",20*12/26,"Plan 1200",15*12/26,"Plan 1000",2*12/26,"")</f>
        <v>0.92307692307692313</v>
      </c>
      <c r="H42">
        <f>VLOOKUP(A42,'12.22'!A:B,2,FALSE)</f>
        <v>-461.54</v>
      </c>
      <c r="I42" t="str" cm="1">
        <f t="array" ref="I42">_xlfn.IFS(
H42=-738.46,"Plan 1600",
H42=-646.15,"Plan 1400",
H42=-553.85,"Plan 1200",
H42=-461.54,"Plan 1000"
)</f>
        <v>Plan 1000</v>
      </c>
      <c r="J42" s="12" cm="1">
        <f t="array" ref="J42">_xlfn.SWITCH($I42,"Plan 1600",15*12/26,"Plan 1400",10*12/26,"Plan 1200",5*12/26,"Plan 1000",1.5*12/26,"")</f>
        <v>0.69230769230769229</v>
      </c>
      <c r="K42" s="12" cm="1">
        <f t="array" ref="K42">_xlfn.SWITCH($I42,"Plan 1600",97*12/26,"Plan 1400",78*12/26,"Plan 1200",60*12/26,"Plan 1000",25*12/26,"")</f>
        <v>11.538461538461538</v>
      </c>
      <c r="L42" s="12" cm="1">
        <f t="array" ref="L42">_xlfn.SWITCH($I42,"Plan 1600",25*12/26,"Plan 1400",20*12/26,"Plan 1200",15*12/26,"Plan 1000",2*12/26,"")</f>
        <v>0.92307692307692313</v>
      </c>
    </row>
    <row r="43" spans="1:12" x14ac:dyDescent="0.25">
      <c r="A43" s="9" t="s">
        <v>60</v>
      </c>
      <c r="B43">
        <f>VLOOKUP(A43,'12.5'!A:B,2,FALSE)</f>
        <v>-461.54</v>
      </c>
      <c r="C43" t="str" cm="1">
        <f t="array" ref="C43">_xlfn.IFS(
B43=-738.46,"Plan 1600",
B43=-646.15,"Plan 1400",
B43=-553.85,"Plan 1200",
B43=-461.54,"Plan 1000"
)</f>
        <v>Plan 1000</v>
      </c>
      <c r="D43" s="12" cm="1">
        <f t="array" ref="D43">_xlfn.SWITCH($C43,"Plan 1600",15*12/26,"Plan 1400",10*12/26,"Plan 1200",5*12/26,"Plan 1000",1.5*12/26,"")</f>
        <v>0.69230769230769229</v>
      </c>
      <c r="E43" s="12" cm="1">
        <f t="array" ref="E43">_xlfn.SWITCH($C43,"Plan 1600",97*12/26,"Plan 1400",78*12/26,"Plan 1200",60*12/26,"Plan 1000",25*12/26,"")</f>
        <v>11.538461538461538</v>
      </c>
      <c r="F43" s="12" cm="1">
        <f t="array" ref="F43">_xlfn.SWITCH($C43,"Plan 1600",25*12/26,"Plan 1400",20*12/26,"Plan 1200",15*12/26,"Plan 1000",2*12/26,"")</f>
        <v>0.92307692307692313</v>
      </c>
      <c r="H43">
        <f>VLOOKUP(A43,'12.22'!A:B,2,FALSE)</f>
        <v>-461.54</v>
      </c>
      <c r="I43" t="str" cm="1">
        <f t="array" ref="I43">_xlfn.IFS(
H43=-738.46,"Plan 1600",
H43=-646.15,"Plan 1400",
H43=-553.85,"Plan 1200",
H43=-461.54,"Plan 1000"
)</f>
        <v>Plan 1000</v>
      </c>
      <c r="J43" s="12" cm="1">
        <f t="array" ref="J43">_xlfn.SWITCH($I43,"Plan 1600",15*12/26,"Plan 1400",10*12/26,"Plan 1200",5*12/26,"Plan 1000",1.5*12/26,"")</f>
        <v>0.69230769230769229</v>
      </c>
      <c r="K43" s="12" cm="1">
        <f t="array" ref="K43">_xlfn.SWITCH($I43,"Plan 1600",97*12/26,"Plan 1400",78*12/26,"Plan 1200",60*12/26,"Plan 1000",25*12/26,"")</f>
        <v>11.538461538461538</v>
      </c>
      <c r="L43" s="12" cm="1">
        <f t="array" ref="L43">_xlfn.SWITCH($I43,"Plan 1600",25*12/26,"Plan 1400",20*12/26,"Plan 1200",15*12/26,"Plan 1000",2*12/26,"")</f>
        <v>0.92307692307692313</v>
      </c>
    </row>
    <row r="44" spans="1:12" x14ac:dyDescent="0.25">
      <c r="A44" s="9" t="s">
        <v>62</v>
      </c>
      <c r="B44">
        <f>VLOOKUP(A44,'12.5'!A:B,2,FALSE)</f>
        <v>-461.54</v>
      </c>
      <c r="C44" t="str" cm="1">
        <f t="array" ref="C44">_xlfn.IFS(
B44=-738.46,"Plan 1600",
B44=-646.15,"Plan 1400",
B44=-553.85,"Plan 1200",
B44=-461.54,"Plan 1000"
)</f>
        <v>Plan 1000</v>
      </c>
      <c r="D44" s="12" cm="1">
        <f t="array" ref="D44">_xlfn.SWITCH($C44,"Plan 1600",15*12/26,"Plan 1400",10*12/26,"Plan 1200",5*12/26,"Plan 1000",1.5*12/26,"")</f>
        <v>0.69230769230769229</v>
      </c>
      <c r="E44" s="12" cm="1">
        <f t="array" ref="E44">_xlfn.SWITCH($C44,"Plan 1600",97*12/26,"Plan 1400",78*12/26,"Plan 1200",60*12/26,"Plan 1000",25*12/26,"")</f>
        <v>11.538461538461538</v>
      </c>
      <c r="F44" s="12" cm="1">
        <f t="array" ref="F44">_xlfn.SWITCH($C44,"Plan 1600",25*12/26,"Plan 1400",20*12/26,"Plan 1200",15*12/26,"Plan 1000",2*12/26,"")</f>
        <v>0.92307692307692313</v>
      </c>
      <c r="H44">
        <f>VLOOKUP(A44,'12.22'!A:B,2,FALSE)</f>
        <v>-461.54</v>
      </c>
      <c r="I44" t="str" cm="1">
        <f t="array" ref="I44">_xlfn.IFS(
H44=-738.46,"Plan 1600",
H44=-646.15,"Plan 1400",
H44=-553.85,"Plan 1200",
H44=-461.54,"Plan 1000"
)</f>
        <v>Plan 1000</v>
      </c>
      <c r="J44" s="12" cm="1">
        <f t="array" ref="J44">_xlfn.SWITCH($I44,"Plan 1600",15*12/26,"Plan 1400",10*12/26,"Plan 1200",5*12/26,"Plan 1000",1.5*12/26,"")</f>
        <v>0.69230769230769229</v>
      </c>
      <c r="K44" s="12" cm="1">
        <f t="array" ref="K44">_xlfn.SWITCH($I44,"Plan 1600",97*12/26,"Plan 1400",78*12/26,"Plan 1200",60*12/26,"Plan 1000",25*12/26,"")</f>
        <v>11.538461538461538</v>
      </c>
      <c r="L44" s="12" cm="1">
        <f t="array" ref="L44">_xlfn.SWITCH($I44,"Plan 1600",25*12/26,"Plan 1400",20*12/26,"Plan 1200",15*12/26,"Plan 1000",2*12/26,"")</f>
        <v>0.92307692307692313</v>
      </c>
    </row>
    <row r="45" spans="1:12" x14ac:dyDescent="0.25">
      <c r="A45" s="9" t="s">
        <v>63</v>
      </c>
      <c r="B45">
        <f>VLOOKUP(A45,'12.5'!A:B,2,FALSE)</f>
        <v>-461.54</v>
      </c>
      <c r="C45" t="str" cm="1">
        <f t="array" ref="C45">_xlfn.IFS(
B45=-738.46,"Plan 1600",
B45=-646.15,"Plan 1400",
B45=-553.85,"Plan 1200",
B45=-461.54,"Plan 1000"
)</f>
        <v>Plan 1000</v>
      </c>
      <c r="D45" s="12" cm="1">
        <f t="array" ref="D45">_xlfn.SWITCH($C45,"Plan 1600",15*12/26,"Plan 1400",10*12/26,"Plan 1200",5*12/26,"Plan 1000",1.5*12/26,"")</f>
        <v>0.69230769230769229</v>
      </c>
      <c r="E45" s="12" cm="1">
        <f t="array" ref="E45">_xlfn.SWITCH($C45,"Plan 1600",97*12/26,"Plan 1400",78*12/26,"Plan 1200",60*12/26,"Plan 1000",25*12/26,"")</f>
        <v>11.538461538461538</v>
      </c>
      <c r="F45" s="12" cm="1">
        <f t="array" ref="F45">_xlfn.SWITCH($C45,"Plan 1600",25*12/26,"Plan 1400",20*12/26,"Plan 1200",15*12/26,"Plan 1000",2*12/26,"")</f>
        <v>0.92307692307692313</v>
      </c>
      <c r="H45">
        <f>VLOOKUP(A45,'12.22'!A:B,2,FALSE)</f>
        <v>-461.54</v>
      </c>
      <c r="I45" t="str" cm="1">
        <f t="array" ref="I45">_xlfn.IFS(
H45=-738.46,"Plan 1600",
H45=-646.15,"Plan 1400",
H45=-553.85,"Plan 1200",
H45=-461.54,"Plan 1000"
)</f>
        <v>Plan 1000</v>
      </c>
      <c r="J45" s="12" cm="1">
        <f t="array" ref="J45">_xlfn.SWITCH($I45,"Plan 1600",15*12/26,"Plan 1400",10*12/26,"Plan 1200",5*12/26,"Plan 1000",1.5*12/26,"")</f>
        <v>0.69230769230769229</v>
      </c>
      <c r="K45" s="12" cm="1">
        <f t="array" ref="K45">_xlfn.SWITCH($I45,"Plan 1600",97*12/26,"Plan 1400",78*12/26,"Plan 1200",60*12/26,"Plan 1000",25*12/26,"")</f>
        <v>11.538461538461538</v>
      </c>
      <c r="L45" s="12" cm="1">
        <f t="array" ref="L45">_xlfn.SWITCH($I45,"Plan 1600",25*12/26,"Plan 1400",20*12/26,"Plan 1200",15*12/26,"Plan 1000",2*12/26,"")</f>
        <v>0.92307692307692313</v>
      </c>
    </row>
    <row r="46" spans="1:12" x14ac:dyDescent="0.25">
      <c r="A46" s="9" t="s">
        <v>65</v>
      </c>
      <c r="B46">
        <f>VLOOKUP(A46,'12.5'!A:B,2,FALSE)</f>
        <v>-461.54</v>
      </c>
      <c r="C46" t="str" cm="1">
        <f t="array" ref="C46">_xlfn.IFS(
B46=-738.46,"Plan 1600",
B46=-646.15,"Plan 1400",
B46=-553.85,"Plan 1200",
B46=-461.54,"Plan 1000"
)</f>
        <v>Plan 1000</v>
      </c>
      <c r="D46" s="12" cm="1">
        <f t="array" ref="D46">_xlfn.SWITCH($C46,"Plan 1600",15*12/26,"Plan 1400",10*12/26,"Plan 1200",5*12/26,"Plan 1000",1.5*12/26,"")</f>
        <v>0.69230769230769229</v>
      </c>
      <c r="E46" s="12" cm="1">
        <f t="array" ref="E46">_xlfn.SWITCH($C46,"Plan 1600",97*12/26,"Plan 1400",78*12/26,"Plan 1200",60*12/26,"Plan 1000",25*12/26,"")</f>
        <v>11.538461538461538</v>
      </c>
      <c r="F46" s="12" cm="1">
        <f t="array" ref="F46">_xlfn.SWITCH($C46,"Plan 1600",25*12/26,"Plan 1400",20*12/26,"Plan 1200",15*12/26,"Plan 1000",2*12/26,"")</f>
        <v>0.92307692307692313</v>
      </c>
      <c r="H46">
        <f>VLOOKUP(A46,'12.22'!A:B,2,FALSE)</f>
        <v>-461.54</v>
      </c>
      <c r="I46" t="str" cm="1">
        <f t="array" ref="I46">_xlfn.IFS(
H46=-738.46,"Plan 1600",
H46=-646.15,"Plan 1400",
H46=-553.85,"Plan 1200",
H46=-461.54,"Plan 1000"
)</f>
        <v>Plan 1000</v>
      </c>
      <c r="J46" s="12" cm="1">
        <f t="array" ref="J46">_xlfn.SWITCH($I46,"Plan 1600",15*12/26,"Plan 1400",10*12/26,"Plan 1200",5*12/26,"Plan 1000",1.5*12/26,"")</f>
        <v>0.69230769230769229</v>
      </c>
      <c r="K46" s="12" cm="1">
        <f t="array" ref="K46">_xlfn.SWITCH($I46,"Plan 1600",97*12/26,"Plan 1400",78*12/26,"Plan 1200",60*12/26,"Plan 1000",25*12/26,"")</f>
        <v>11.538461538461538</v>
      </c>
      <c r="L46" s="12" cm="1">
        <f t="array" ref="L46">_xlfn.SWITCH($I46,"Plan 1600",25*12/26,"Plan 1400",20*12/26,"Plan 1200",15*12/26,"Plan 1000",2*12/26,"")</f>
        <v>0.92307692307692313</v>
      </c>
    </row>
    <row r="47" spans="1:12" x14ac:dyDescent="0.25">
      <c r="A47" s="9" t="s">
        <v>69</v>
      </c>
      <c r="B47">
        <f>VLOOKUP(A47,'12.5'!A:B,2,FALSE)</f>
        <v>-461.54</v>
      </c>
      <c r="C47" t="str" cm="1">
        <f t="array" ref="C47">_xlfn.IFS(
B47=-738.46,"Plan 1600",
B47=-646.15,"Plan 1400",
B47=-553.85,"Plan 1200",
B47=-461.54,"Plan 1000"
)</f>
        <v>Plan 1000</v>
      </c>
      <c r="D47" s="12" cm="1">
        <f t="array" ref="D47">_xlfn.SWITCH($C47,"Plan 1600",15*12/26,"Plan 1400",10*12/26,"Plan 1200",5*12/26,"Plan 1000",1.5*12/26,"")</f>
        <v>0.69230769230769229</v>
      </c>
      <c r="E47" s="12" cm="1">
        <f t="array" ref="E47">_xlfn.SWITCH($C47,"Plan 1600",97*12/26,"Plan 1400",78*12/26,"Plan 1200",60*12/26,"Plan 1000",25*12/26,"")</f>
        <v>11.538461538461538</v>
      </c>
      <c r="F47" s="12" cm="1">
        <f t="array" ref="F47">_xlfn.SWITCH($C47,"Plan 1600",25*12/26,"Plan 1400",20*12/26,"Plan 1200",15*12/26,"Plan 1000",2*12/26,"")</f>
        <v>0.92307692307692313</v>
      </c>
      <c r="H47">
        <f>VLOOKUP(A47,'12.22'!A:B,2,FALSE)</f>
        <v>-461.54</v>
      </c>
      <c r="I47" t="str" cm="1">
        <f t="array" ref="I47">_xlfn.IFS(
H47=-738.46,"Plan 1600",
H47=-646.15,"Plan 1400",
H47=-553.85,"Plan 1200",
H47=-461.54,"Plan 1000"
)</f>
        <v>Plan 1000</v>
      </c>
      <c r="J47" s="12" cm="1">
        <f t="array" ref="J47">_xlfn.SWITCH($I47,"Plan 1600",15*12/26,"Plan 1400",10*12/26,"Plan 1200",5*12/26,"Plan 1000",1.5*12/26,"")</f>
        <v>0.69230769230769229</v>
      </c>
      <c r="K47" s="12" cm="1">
        <f t="array" ref="K47">_xlfn.SWITCH($I47,"Plan 1600",97*12/26,"Plan 1400",78*12/26,"Plan 1200",60*12/26,"Plan 1000",25*12/26,"")</f>
        <v>11.538461538461538</v>
      </c>
      <c r="L47" s="12" cm="1">
        <f t="array" ref="L47">_xlfn.SWITCH($I47,"Plan 1600",25*12/26,"Plan 1400",20*12/26,"Plan 1200",15*12/26,"Plan 1000",2*12/26,"")</f>
        <v>0.92307692307692313</v>
      </c>
    </row>
    <row r="48" spans="1:12" x14ac:dyDescent="0.25">
      <c r="D48" s="13">
        <f>SUM(D2:D47)</f>
        <v>102.46153846153847</v>
      </c>
      <c r="E48" s="13">
        <f>SUM(E2:E47)</f>
        <v>973.38461538461581</v>
      </c>
      <c r="F48" s="13">
        <f>SUM(F2:F47)</f>
        <v>192.00000000000034</v>
      </c>
      <c r="J48" s="13">
        <f>SUM(J2:J47)</f>
        <v>101.53846153846155</v>
      </c>
      <c r="K48" s="13">
        <f>SUM(K2:K47)</f>
        <v>949.84615384615415</v>
      </c>
      <c r="L48" s="13">
        <f>SUM(L2:L47)</f>
        <v>182.30769230769261</v>
      </c>
    </row>
  </sheetData>
  <sortState xmlns:xlrd2="http://schemas.microsoft.com/office/spreadsheetml/2017/richdata2" ref="A2:L138">
    <sortCondition ref="B2:B1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92BA-A9DB-43D0-9AFC-6AA0FF0E86EE}">
  <dimension ref="A1:L31"/>
  <sheetViews>
    <sheetView workbookViewId="0">
      <selection activeCell="A31" sqref="A31:XFD3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</row>
    <row r="2" spans="1:12" x14ac:dyDescent="0.25">
      <c r="A2" s="9" t="s">
        <v>35</v>
      </c>
      <c r="B2">
        <f>VLOOKUP(A2,'12.5'!A:B,2,FALSE)</f>
        <v>-461.54</v>
      </c>
      <c r="C2" t="str" cm="1">
        <f t="array" ref="C2">_xlfn.IFS(
B2=-738.46,"Plan 1600",
B2=-646.15,"Plan 1400",
B2=-553.85,"Plan 1200",
B2=-461.54,"Plan 1000"
)</f>
        <v>Plan 1000</v>
      </c>
      <c r="D2" s="12" cm="1">
        <f t="array" ref="D2">_xlfn.SWITCH($C2,"Plan 1600",15*12/26,"Plan 1400",10*12/26,"Plan 1200",5*12/26,"Plan 1000",1.5*12/26,"")</f>
        <v>0.69230769230769229</v>
      </c>
      <c r="E2" s="12" cm="1">
        <f t="array" ref="E2">_xlfn.SWITCH($C2,"Plan 1600",97*12/26,"Plan 1400",78*12/26,"Plan 1200",60*12/26,"Plan 1000",25*12/26,"")</f>
        <v>11.538461538461538</v>
      </c>
      <c r="F2" s="12" cm="1">
        <f t="array" ref="F2">_xlfn.SWITCH($C2,"Plan 1600",25*12/26,"Plan 1400",20*12/26,"Plan 1200",15*12/26,"Plan 1000",2*12/26,"")</f>
        <v>0.92307692307692313</v>
      </c>
      <c r="G2" s="3"/>
      <c r="H2" t="e">
        <f>VLOOKUP(A2,'12.22'!A:B,2,FALSE)</f>
        <v>#N/A</v>
      </c>
      <c r="I2" t="e" cm="1">
        <f t="array" ref="I2">_xlfn.IFS(
H2=-738.46,"Plan 1600",
B2=-646.15,"Plan 1400",
B2=-553.85,"Plan 1200",
B2=-461.54,"Plan 1000"
)</f>
        <v>#N/A</v>
      </c>
      <c r="J2" s="12" t="e" cm="1">
        <f t="array" ref="J2">_xlfn.SWITCH($I2,"Plan 1600",15*12/26,"Plan 1400",10*12/26,"Plan 1200",5*12/26,"Plan 1000",1.5*12/26,"")</f>
        <v>#N/A</v>
      </c>
      <c r="K2" s="12" t="e" cm="1">
        <f t="array" ref="K2">_xlfn.SWITCH($I2,"Plan 1600",97*12/26,"Plan 1400",78*12/26,"Plan 1200",60*12/26,"Plan 1000",25*12/26,"")</f>
        <v>#N/A</v>
      </c>
      <c r="L2" s="12" t="e" cm="1">
        <f t="array" ref="L2">_xlfn.SWITCH($I2,"Plan 1600",25*12/26,"Plan 1400",20*12/26,"Plan 1200",15*12/26,"Plan 1000",2*12/26,"")</f>
        <v>#N/A</v>
      </c>
    </row>
    <row r="3" spans="1:12" x14ac:dyDescent="0.25">
      <c r="A3" s="9" t="s">
        <v>15</v>
      </c>
      <c r="B3">
        <f>VLOOKUP(A3,'12.5'!A:B,2,FALSE)</f>
        <v>0</v>
      </c>
      <c r="C3" t="e" cm="1">
        <f t="array" ref="C3">_xlfn.IFS(
B3=-738.46,"Plan 1600",
B3=-646.15,"Plan 1400",
B3=-553.85,"Plan 1200",
B3=-461.54,"Plan 1000"
)</f>
        <v>#N/A</v>
      </c>
      <c r="D3" s="12" t="e" cm="1">
        <f t="array" ref="D3">_xlfn.SWITCH($C3,"Plan 1600",15*12/26,"Plan 1400",10*12/26,"Plan 1200",5*12/26,"Plan 1000",1.5*12/26,"")</f>
        <v>#N/A</v>
      </c>
      <c r="E3" s="12" t="e" cm="1">
        <f t="array" ref="E3">_xlfn.SWITCH($C3,"Plan 1600",97*12/26,"Plan 1400",78*12/26,"Plan 1200",60*12/26,"Plan 1000",25*12/26,"")</f>
        <v>#N/A</v>
      </c>
      <c r="F3" s="12" t="e" cm="1">
        <f t="array" ref="F3">_xlfn.SWITCH($C3,"Plan 1600",25*12/26,"Plan 1400",20*12/26,"Plan 1200",15*12/26,"Plan 1000",2*12/26,"")</f>
        <v>#N/A</v>
      </c>
      <c r="G3" s="3"/>
      <c r="H3">
        <f>VLOOKUP(A3,'12.22'!A:B,2,FALSE)</f>
        <v>0</v>
      </c>
      <c r="I3" t="e" cm="1">
        <f t="array" ref="I3">_xlfn.IFS(
H3=-738.46,"Plan 1600",
B3=-646.15,"Plan 1400",
B3=-553.85,"Plan 1200",
B3=-461.54,"Plan 1000"
)</f>
        <v>#N/A</v>
      </c>
      <c r="J3" s="12" t="e" cm="1">
        <f t="array" ref="J3">_xlfn.SWITCH($I3,"Plan 1600",15*12/26,"Plan 1400",10*12/26,"Plan 1200",5*12/26,"Plan 1000",1.5*12/26,"")</f>
        <v>#N/A</v>
      </c>
      <c r="K3" s="12" t="e" cm="1">
        <f t="array" ref="K3">_xlfn.SWITCH($I3,"Plan 1600",97*12/26,"Plan 1400",78*12/26,"Plan 1200",60*12/26,"Plan 1000",25*12/26,"")</f>
        <v>#N/A</v>
      </c>
      <c r="L3" s="12" t="e" cm="1">
        <f t="array" ref="L3">_xlfn.SWITCH($I3,"Plan 1600",25*12/26,"Plan 1400",20*12/26,"Plan 1200",15*12/26,"Plan 1000",2*12/26,"")</f>
        <v>#N/A</v>
      </c>
    </row>
    <row r="4" spans="1:12" x14ac:dyDescent="0.25">
      <c r="A4" s="9" t="s">
        <v>16</v>
      </c>
      <c r="B4">
        <f>VLOOKUP(A4,'12.5'!A:B,2,FALSE)</f>
        <v>0</v>
      </c>
      <c r="C4" t="e" cm="1">
        <f t="array" ref="C4">_xlfn.IFS(
B4=-738.46,"Plan 1600",
B4=-646.15,"Plan 1400",
B4=-553.85,"Plan 1200",
B4=-461.54,"Plan 1000"
)</f>
        <v>#N/A</v>
      </c>
      <c r="D4" s="12" t="e" cm="1">
        <f t="array" ref="D4">_xlfn.SWITCH($C4,"Plan 1600",15*12/26,"Plan 1400",10*12/26,"Plan 1200",5*12/26,"Plan 1000",1.5*12/26,"")</f>
        <v>#N/A</v>
      </c>
      <c r="E4" s="12" t="e" cm="1">
        <f t="array" ref="E4">_xlfn.SWITCH($C4,"Plan 1600",97*12/26,"Plan 1400",78*12/26,"Plan 1200",60*12/26,"Plan 1000",25*12/26,"")</f>
        <v>#N/A</v>
      </c>
      <c r="F4" s="12" t="e" cm="1">
        <f t="array" ref="F4">_xlfn.SWITCH($C4,"Plan 1600",25*12/26,"Plan 1400",20*12/26,"Plan 1200",15*12/26,"Plan 1000",2*12/26,"")</f>
        <v>#N/A</v>
      </c>
      <c r="G4" s="3"/>
      <c r="H4">
        <f>VLOOKUP(A4,'12.22'!A:B,2,FALSE)</f>
        <v>0</v>
      </c>
      <c r="I4" t="e" cm="1">
        <f t="array" ref="I4">_xlfn.IFS(
H4=-738.46,"Plan 1600",
B4=-646.15,"Plan 1400",
B4=-553.85,"Plan 1200",
B4=-461.54,"Plan 1000"
)</f>
        <v>#N/A</v>
      </c>
      <c r="J4" s="12" t="e" cm="1">
        <f t="array" ref="J4">_xlfn.SWITCH($I4,"Plan 1600",15*12/26,"Plan 1400",10*12/26,"Plan 1200",5*12/26,"Plan 1000",1.5*12/26,"")</f>
        <v>#N/A</v>
      </c>
      <c r="K4" s="12" t="e" cm="1">
        <f t="array" ref="K4">_xlfn.SWITCH($I4,"Plan 1600",97*12/26,"Plan 1400",78*12/26,"Plan 1200",60*12/26,"Plan 1000",25*12/26,"")</f>
        <v>#N/A</v>
      </c>
      <c r="L4" s="12" t="e" cm="1">
        <f t="array" ref="L4">_xlfn.SWITCH($I4,"Plan 1600",25*12/26,"Plan 1400",20*12/26,"Plan 1200",15*12/26,"Plan 1000",2*12/26,"")</f>
        <v>#N/A</v>
      </c>
    </row>
    <row r="5" spans="1:12" x14ac:dyDescent="0.25">
      <c r="A5" s="9" t="s">
        <v>24</v>
      </c>
      <c r="B5">
        <f>VLOOKUP(A5,'12.5'!A:B,2,FALSE)</f>
        <v>0</v>
      </c>
      <c r="C5" t="e" cm="1">
        <f t="array" ref="C5">_xlfn.IFS(
B5=-738.46,"Plan 1600",
B5=-646.15,"Plan 1400",
B5=-553.85,"Plan 1200",
B5=-461.54,"Plan 1000"
)</f>
        <v>#N/A</v>
      </c>
      <c r="D5" s="12" t="e" cm="1">
        <f t="array" ref="D5">_xlfn.SWITCH($C5,"Plan 1600",15*12/26,"Plan 1400",10*12/26,"Plan 1200",5*12/26,"Plan 1000",1.5*12/26,"")</f>
        <v>#N/A</v>
      </c>
      <c r="E5" s="12" t="e" cm="1">
        <f t="array" ref="E5">_xlfn.SWITCH($C5,"Plan 1600",97*12/26,"Plan 1400",78*12/26,"Plan 1200",60*12/26,"Plan 1000",25*12/26,"")</f>
        <v>#N/A</v>
      </c>
      <c r="F5" s="12" t="e" cm="1">
        <f t="array" ref="F5">_xlfn.SWITCH($C5,"Plan 1600",25*12/26,"Plan 1400",20*12/26,"Plan 1200",15*12/26,"Plan 1000",2*12/26,"")</f>
        <v>#N/A</v>
      </c>
      <c r="G5" s="3"/>
      <c r="H5">
        <f>VLOOKUP(A5,'12.22'!A:B,2,FALSE)</f>
        <v>-461.54</v>
      </c>
      <c r="I5" t="e" cm="1">
        <f t="array" ref="I5">_xlfn.IFS(
H5=-738.46,"Plan 1600",
B5=-646.15,"Plan 1400",
B5=-553.85,"Plan 1200",
B5=-461.54,"Plan 1000"
)</f>
        <v>#N/A</v>
      </c>
      <c r="J5" s="12" t="e" cm="1">
        <f t="array" ref="J5">_xlfn.SWITCH($I5,"Plan 1600",15*12/26,"Plan 1400",10*12/26,"Plan 1200",5*12/26,"Plan 1000",1.5*12/26,"")</f>
        <v>#N/A</v>
      </c>
      <c r="K5" s="12" t="e" cm="1">
        <f t="array" ref="K5">_xlfn.SWITCH($I5,"Plan 1600",97*12/26,"Plan 1400",78*12/26,"Plan 1200",60*12/26,"Plan 1000",25*12/26,"")</f>
        <v>#N/A</v>
      </c>
      <c r="L5" s="12" t="e" cm="1">
        <f t="array" ref="L5">_xlfn.SWITCH($I5,"Plan 1600",25*12/26,"Plan 1400",20*12/26,"Plan 1200",15*12/26,"Plan 1000",2*12/26,"")</f>
        <v>#N/A</v>
      </c>
    </row>
    <row r="6" spans="1:12" x14ac:dyDescent="0.25">
      <c r="A6" s="9" t="s">
        <v>25</v>
      </c>
      <c r="B6">
        <f>VLOOKUP(A6,'12.5'!A:B,2,FALSE)</f>
        <v>0</v>
      </c>
      <c r="C6" t="e" cm="1">
        <f t="array" ref="C6">_xlfn.IFS(
B6=-738.46,"Plan 1600",
B6=-646.15,"Plan 1400",
B6=-553.85,"Plan 1200",
B6=-461.54,"Plan 1000"
)</f>
        <v>#N/A</v>
      </c>
      <c r="D6" s="12" t="e" cm="1">
        <f t="array" ref="D6">_xlfn.SWITCH($C6,"Plan 1600",15*12/26,"Plan 1400",10*12/26,"Plan 1200",5*12/26,"Plan 1000",1.5*12/26,"")</f>
        <v>#N/A</v>
      </c>
      <c r="E6" s="12" t="e" cm="1">
        <f t="array" ref="E6">_xlfn.SWITCH($C6,"Plan 1600",97*12/26,"Plan 1400",78*12/26,"Plan 1200",60*12/26,"Plan 1000",25*12/26,"")</f>
        <v>#N/A</v>
      </c>
      <c r="F6" s="12" t="e" cm="1">
        <f t="array" ref="F6">_xlfn.SWITCH($C6,"Plan 1600",25*12/26,"Plan 1400",20*12/26,"Plan 1200",15*12/26,"Plan 1000",2*12/26,"")</f>
        <v>#N/A</v>
      </c>
      <c r="G6" s="3"/>
      <c r="H6">
        <f>VLOOKUP(A6,'12.22'!A:B,2,FALSE)</f>
        <v>0</v>
      </c>
      <c r="I6" t="e" cm="1">
        <f t="array" ref="I6">_xlfn.IFS(
H6=-738.46,"Plan 1600",
B6=-646.15,"Plan 1400",
B6=-553.85,"Plan 1200",
B6=-461.54,"Plan 1000"
)</f>
        <v>#N/A</v>
      </c>
      <c r="J6" s="12" t="e" cm="1">
        <f t="array" ref="J6">_xlfn.SWITCH($I6,"Plan 1600",15*12/26,"Plan 1400",10*12/26,"Plan 1200",5*12/26,"Plan 1000",1.5*12/26,"")</f>
        <v>#N/A</v>
      </c>
      <c r="K6" s="12" t="e" cm="1">
        <f t="array" ref="K6">_xlfn.SWITCH($I6,"Plan 1600",97*12/26,"Plan 1400",78*12/26,"Plan 1200",60*12/26,"Plan 1000",25*12/26,"")</f>
        <v>#N/A</v>
      </c>
      <c r="L6" s="12" t="e" cm="1">
        <f t="array" ref="L6">_xlfn.SWITCH($I6,"Plan 1600",25*12/26,"Plan 1400",20*12/26,"Plan 1200",15*12/26,"Plan 1000",2*12/26,"")</f>
        <v>#N/A</v>
      </c>
    </row>
    <row r="7" spans="1:12" x14ac:dyDescent="0.25">
      <c r="A7" s="9" t="s">
        <v>26</v>
      </c>
      <c r="B7">
        <f>VLOOKUP(A7,'12.5'!A:B,2,FALSE)</f>
        <v>0</v>
      </c>
      <c r="C7" t="e" cm="1">
        <f t="array" ref="C7">_xlfn.IFS(
B7=-738.46,"Plan 1600",
B7=-646.15,"Plan 1400",
B7=-553.85,"Plan 1200",
B7=-461.54,"Plan 1000"
)</f>
        <v>#N/A</v>
      </c>
      <c r="D7" s="12" t="e" cm="1">
        <f t="array" ref="D7">_xlfn.SWITCH($C7,"Plan 1600",15*12/26,"Plan 1400",10*12/26,"Plan 1200",5*12/26,"Plan 1000",1.5*12/26,"")</f>
        <v>#N/A</v>
      </c>
      <c r="E7" s="12" t="e" cm="1">
        <f t="array" ref="E7">_xlfn.SWITCH($C7,"Plan 1600",97*12/26,"Plan 1400",78*12/26,"Plan 1200",60*12/26,"Plan 1000",25*12/26,"")</f>
        <v>#N/A</v>
      </c>
      <c r="F7" s="12" t="e" cm="1">
        <f t="array" ref="F7">_xlfn.SWITCH($C7,"Plan 1600",25*12/26,"Plan 1400",20*12/26,"Plan 1200",15*12/26,"Plan 1000",2*12/26,"")</f>
        <v>#N/A</v>
      </c>
      <c r="G7" s="3"/>
      <c r="H7">
        <f>VLOOKUP(A7,'12.22'!A:B,2,FALSE)</f>
        <v>0</v>
      </c>
      <c r="I7" t="e" cm="1">
        <f t="array" ref="I7">_xlfn.IFS(
H7=-738.46,"Plan 1600",
B7=-646.15,"Plan 1400",
B7=-553.85,"Plan 1200",
B7=-461.54,"Plan 1000"
)</f>
        <v>#N/A</v>
      </c>
      <c r="J7" s="12" t="e" cm="1">
        <f t="array" ref="J7">_xlfn.SWITCH($I7,"Plan 1600",15*12/26,"Plan 1400",10*12/26,"Plan 1200",5*12/26,"Plan 1000",1.5*12/26,"")</f>
        <v>#N/A</v>
      </c>
      <c r="K7" s="12" t="e" cm="1">
        <f t="array" ref="K7">_xlfn.SWITCH($I7,"Plan 1600",97*12/26,"Plan 1400",78*12/26,"Plan 1200",60*12/26,"Plan 1000",25*12/26,"")</f>
        <v>#N/A</v>
      </c>
      <c r="L7" s="12" t="e" cm="1">
        <f t="array" ref="L7">_xlfn.SWITCH($I7,"Plan 1600",25*12/26,"Plan 1400",20*12/26,"Plan 1200",15*12/26,"Plan 1000",2*12/26,"")</f>
        <v>#N/A</v>
      </c>
    </row>
    <row r="8" spans="1:12" x14ac:dyDescent="0.25">
      <c r="A8" s="9" t="s">
        <v>27</v>
      </c>
      <c r="B8">
        <f>VLOOKUP(A8,'12.5'!A:B,2,FALSE)</f>
        <v>0</v>
      </c>
      <c r="C8" t="e" cm="1">
        <f t="array" ref="C8">_xlfn.IFS(
B8=-738.46,"Plan 1600",
B8=-646.15,"Plan 1400",
B8=-553.85,"Plan 1200",
B8=-461.54,"Plan 1000"
)</f>
        <v>#N/A</v>
      </c>
      <c r="D8" s="12" t="e" cm="1">
        <f t="array" ref="D8">_xlfn.SWITCH($C8,"Plan 1600",15*12/26,"Plan 1400",10*12/26,"Plan 1200",5*12/26,"Plan 1000",1.5*12/26,"")</f>
        <v>#N/A</v>
      </c>
      <c r="E8" s="12" t="e" cm="1">
        <f t="array" ref="E8">_xlfn.SWITCH($C8,"Plan 1600",97*12/26,"Plan 1400",78*12/26,"Plan 1200",60*12/26,"Plan 1000",25*12/26,"")</f>
        <v>#N/A</v>
      </c>
      <c r="F8" s="12" t="e" cm="1">
        <f t="array" ref="F8">_xlfn.SWITCH($C8,"Plan 1600",25*12/26,"Plan 1400",20*12/26,"Plan 1200",15*12/26,"Plan 1000",2*12/26,"")</f>
        <v>#N/A</v>
      </c>
      <c r="G8" s="3"/>
      <c r="H8">
        <f>VLOOKUP(A8,'12.22'!A:B,2,FALSE)</f>
        <v>0</v>
      </c>
      <c r="I8" t="e" cm="1">
        <f t="array" ref="I8">_xlfn.IFS(
H8=-738.46,"Plan 1600",
B8=-646.15,"Plan 1400",
B8=-553.85,"Plan 1200",
B8=-461.54,"Plan 1000"
)</f>
        <v>#N/A</v>
      </c>
      <c r="J8" s="12" t="e" cm="1">
        <f t="array" ref="J8">_xlfn.SWITCH($I8,"Plan 1600",15*12/26,"Plan 1400",10*12/26,"Plan 1200",5*12/26,"Plan 1000",1.5*12/26,"")</f>
        <v>#N/A</v>
      </c>
      <c r="K8" s="12" t="e" cm="1">
        <f t="array" ref="K8">_xlfn.SWITCH($I8,"Plan 1600",97*12/26,"Plan 1400",78*12/26,"Plan 1200",60*12/26,"Plan 1000",25*12/26,"")</f>
        <v>#N/A</v>
      </c>
      <c r="L8" s="12" t="e" cm="1">
        <f t="array" ref="L8">_xlfn.SWITCH($I8,"Plan 1600",25*12/26,"Plan 1400",20*12/26,"Plan 1200",15*12/26,"Plan 1000",2*12/26,"")</f>
        <v>#N/A</v>
      </c>
    </row>
    <row r="9" spans="1:12" x14ac:dyDescent="0.25">
      <c r="A9" s="9" t="s">
        <v>29</v>
      </c>
      <c r="B9">
        <f>VLOOKUP(A9,'12.5'!A:B,2,FALSE)</f>
        <v>0</v>
      </c>
      <c r="C9" t="e" cm="1">
        <f t="array" ref="C9">_xlfn.IFS(
B9=-738.46,"Plan 1600",
B9=-646.15,"Plan 1400",
B9=-553.85,"Plan 1200",
B9=-461.54,"Plan 1000"
)</f>
        <v>#N/A</v>
      </c>
      <c r="D9" s="12" t="e" cm="1">
        <f t="array" ref="D9">_xlfn.SWITCH($C9,"Plan 1600",15*12/26,"Plan 1400",10*12/26,"Plan 1200",5*12/26,"Plan 1000",1.5*12/26,"")</f>
        <v>#N/A</v>
      </c>
      <c r="E9" s="12" t="e" cm="1">
        <f t="array" ref="E9">_xlfn.SWITCH($C9,"Plan 1600",97*12/26,"Plan 1400",78*12/26,"Plan 1200",60*12/26,"Plan 1000",25*12/26,"")</f>
        <v>#N/A</v>
      </c>
      <c r="F9" s="12" t="e" cm="1">
        <f t="array" ref="F9">_xlfn.SWITCH($C9,"Plan 1600",25*12/26,"Plan 1400",20*12/26,"Plan 1200",15*12/26,"Plan 1000",2*12/26,"")</f>
        <v>#N/A</v>
      </c>
      <c r="G9" s="3"/>
      <c r="H9">
        <f>VLOOKUP(A9,'12.22'!A:B,2,FALSE)</f>
        <v>0</v>
      </c>
      <c r="I9" t="e" cm="1">
        <f t="array" ref="I9">_xlfn.IFS(
H9=-738.46,"Plan 1600",
B9=-646.15,"Plan 1400",
B9=-553.85,"Plan 1200",
B9=-461.54,"Plan 1000"
)</f>
        <v>#N/A</v>
      </c>
      <c r="J9" s="12" t="e" cm="1">
        <f t="array" ref="J9">_xlfn.SWITCH($I9,"Plan 1600",15*12/26,"Plan 1400",10*12/26,"Plan 1200",5*12/26,"Plan 1000",1.5*12/26,"")</f>
        <v>#N/A</v>
      </c>
      <c r="K9" s="12" t="e" cm="1">
        <f t="array" ref="K9">_xlfn.SWITCH($I9,"Plan 1600",97*12/26,"Plan 1400",78*12/26,"Plan 1200",60*12/26,"Plan 1000",25*12/26,"")</f>
        <v>#N/A</v>
      </c>
      <c r="L9" s="12" t="e" cm="1">
        <f t="array" ref="L9">_xlfn.SWITCH($I9,"Plan 1600",25*12/26,"Plan 1400",20*12/26,"Plan 1200",15*12/26,"Plan 1000",2*12/26,"")</f>
        <v>#N/A</v>
      </c>
    </row>
    <row r="10" spans="1:12" x14ac:dyDescent="0.25">
      <c r="A10" s="9" t="s">
        <v>36</v>
      </c>
      <c r="B10">
        <f>VLOOKUP(A10,'12.5'!A:B,2,FALSE)</f>
        <v>0</v>
      </c>
      <c r="C10" t="e" cm="1">
        <f t="array" ref="C10">_xlfn.IFS(
B10=-738.46,"Plan 1600",
B10=-646.15,"Plan 1400",
B10=-553.85,"Plan 1200",
B10=-461.54,"Plan 1000"
)</f>
        <v>#N/A</v>
      </c>
      <c r="D10" s="12" t="e" cm="1">
        <f t="array" ref="D10">_xlfn.SWITCH($C10,"Plan 1600",15*12/26,"Plan 1400",10*12/26,"Plan 1200",5*12/26,"Plan 1000",1.5*12/26,"")</f>
        <v>#N/A</v>
      </c>
      <c r="E10" s="12" t="e" cm="1">
        <f t="array" ref="E10">_xlfn.SWITCH($C10,"Plan 1600",97*12/26,"Plan 1400",78*12/26,"Plan 1200",60*12/26,"Plan 1000",25*12/26,"")</f>
        <v>#N/A</v>
      </c>
      <c r="F10" s="12" t="e" cm="1">
        <f t="array" ref="F10">_xlfn.SWITCH($C10,"Plan 1600",25*12/26,"Plan 1400",20*12/26,"Plan 1200",15*12/26,"Plan 1000",2*12/26,"")</f>
        <v>#N/A</v>
      </c>
      <c r="G10" s="3"/>
      <c r="H10">
        <f>VLOOKUP(A10,'12.22'!A:B,2,FALSE)</f>
        <v>0</v>
      </c>
      <c r="I10" t="e" cm="1">
        <f t="array" ref="I10">_xlfn.IFS(
H10=-738.46,"Plan 1600",
B10=-646.15,"Plan 1400",
B10=-553.85,"Plan 1200",
B10=-461.54,"Plan 1000"
)</f>
        <v>#N/A</v>
      </c>
      <c r="J10" s="12" t="e" cm="1">
        <f t="array" ref="J10">_xlfn.SWITCH($I10,"Plan 1600",15*12/26,"Plan 1400",10*12/26,"Plan 1200",5*12/26,"Plan 1000",1.5*12/26,"")</f>
        <v>#N/A</v>
      </c>
      <c r="K10" s="12" t="e" cm="1">
        <f t="array" ref="K10">_xlfn.SWITCH($I10,"Plan 1600",97*12/26,"Plan 1400",78*12/26,"Plan 1200",60*12/26,"Plan 1000",25*12/26,"")</f>
        <v>#N/A</v>
      </c>
      <c r="L10" s="12" t="e" cm="1">
        <f t="array" ref="L10">_xlfn.SWITCH($I10,"Plan 1600",25*12/26,"Plan 1400",20*12/26,"Plan 1200",15*12/26,"Plan 1000",2*12/26,"")</f>
        <v>#N/A</v>
      </c>
    </row>
    <row r="11" spans="1:12" x14ac:dyDescent="0.25">
      <c r="A11" s="9" t="s">
        <v>40</v>
      </c>
      <c r="B11">
        <f>VLOOKUP(A11,'12.5'!A:B,2,FALSE)</f>
        <v>0</v>
      </c>
      <c r="C11" t="e" cm="1">
        <f t="array" ref="C11">_xlfn.IFS(
B11=-738.46,"Plan 1600",
B11=-646.15,"Plan 1400",
B11=-553.85,"Plan 1200",
B11=-461.54,"Plan 1000"
)</f>
        <v>#N/A</v>
      </c>
      <c r="D11" s="12" t="e" cm="1">
        <f t="array" ref="D11">_xlfn.SWITCH($C11,"Plan 1600",15*12/26,"Plan 1400",10*12/26,"Plan 1200",5*12/26,"Plan 1000",1.5*12/26,"")</f>
        <v>#N/A</v>
      </c>
      <c r="E11" s="12" t="e" cm="1">
        <f t="array" ref="E11">_xlfn.SWITCH($C11,"Plan 1600",97*12/26,"Plan 1400",78*12/26,"Plan 1200",60*12/26,"Plan 1000",25*12/26,"")</f>
        <v>#N/A</v>
      </c>
      <c r="F11" s="12" t="e" cm="1">
        <f t="array" ref="F11">_xlfn.SWITCH($C11,"Plan 1600",25*12/26,"Plan 1400",20*12/26,"Plan 1200",15*12/26,"Plan 1000",2*12/26,"")</f>
        <v>#N/A</v>
      </c>
      <c r="G11" s="3"/>
      <c r="H11">
        <f>VLOOKUP(A11,'12.22'!A:B,2,FALSE)</f>
        <v>0</v>
      </c>
      <c r="I11" t="e" cm="1">
        <f t="array" ref="I11">_xlfn.IFS(
H11=-738.46,"Plan 1600",
B11=-646.15,"Plan 1400",
B11=-553.85,"Plan 1200",
B11=-461.54,"Plan 1000"
)</f>
        <v>#N/A</v>
      </c>
      <c r="J11" s="12" t="e" cm="1">
        <f t="array" ref="J11">_xlfn.SWITCH($I11,"Plan 1600",15*12/26,"Plan 1400",10*12/26,"Plan 1200",5*12/26,"Plan 1000",1.5*12/26,"")</f>
        <v>#N/A</v>
      </c>
      <c r="K11" s="12" t="e" cm="1">
        <f t="array" ref="K11">_xlfn.SWITCH($I11,"Plan 1600",97*12/26,"Plan 1400",78*12/26,"Plan 1200",60*12/26,"Plan 1000",25*12/26,"")</f>
        <v>#N/A</v>
      </c>
      <c r="L11" s="12" t="e" cm="1">
        <f t="array" ref="L11">_xlfn.SWITCH($I11,"Plan 1600",25*12/26,"Plan 1400",20*12/26,"Plan 1200",15*12/26,"Plan 1000",2*12/26,"")</f>
        <v>#N/A</v>
      </c>
    </row>
    <row r="12" spans="1:12" x14ac:dyDescent="0.25">
      <c r="A12" s="9" t="s">
        <v>42</v>
      </c>
      <c r="B12">
        <f>VLOOKUP(A12,'12.5'!A:B,2,FALSE)</f>
        <v>0</v>
      </c>
      <c r="C12" t="e" cm="1">
        <f t="array" ref="C12">_xlfn.IFS(
B12=-738.46,"Plan 1600",
B12=-646.15,"Plan 1400",
B12=-553.85,"Plan 1200",
B12=-461.54,"Plan 1000"
)</f>
        <v>#N/A</v>
      </c>
      <c r="D12" s="12" t="e" cm="1">
        <f t="array" ref="D12">_xlfn.SWITCH($C12,"Plan 1600",15*12/26,"Plan 1400",10*12/26,"Plan 1200",5*12/26,"Plan 1000",1.5*12/26,"")</f>
        <v>#N/A</v>
      </c>
      <c r="E12" s="12" t="e" cm="1">
        <f t="array" ref="E12">_xlfn.SWITCH($C12,"Plan 1600",97*12/26,"Plan 1400",78*12/26,"Plan 1200",60*12/26,"Plan 1000",25*12/26,"")</f>
        <v>#N/A</v>
      </c>
      <c r="F12" s="12" t="e" cm="1">
        <f t="array" ref="F12">_xlfn.SWITCH($C12,"Plan 1600",25*12/26,"Plan 1400",20*12/26,"Plan 1200",15*12/26,"Plan 1000",2*12/26,"")</f>
        <v>#N/A</v>
      </c>
      <c r="G12" s="3"/>
      <c r="H12">
        <f>VLOOKUP(A12,'12.22'!A:B,2,FALSE)</f>
        <v>0</v>
      </c>
      <c r="I12" t="e" cm="1">
        <f t="array" ref="I12">_xlfn.IFS(
H12=-738.46,"Plan 1600",
B12=-646.15,"Plan 1400",
B12=-553.85,"Plan 1200",
B12=-461.54,"Plan 1000"
)</f>
        <v>#N/A</v>
      </c>
      <c r="J12" s="12" t="e" cm="1">
        <f t="array" ref="J12">_xlfn.SWITCH($I12,"Plan 1600",15*12/26,"Plan 1400",10*12/26,"Plan 1200",5*12/26,"Plan 1000",1.5*12/26,"")</f>
        <v>#N/A</v>
      </c>
      <c r="K12" s="12" t="e" cm="1">
        <f t="array" ref="K12">_xlfn.SWITCH($I12,"Plan 1600",97*12/26,"Plan 1400",78*12/26,"Plan 1200",60*12/26,"Plan 1000",25*12/26,"")</f>
        <v>#N/A</v>
      </c>
      <c r="L12" s="12" t="e" cm="1">
        <f t="array" ref="L12">_xlfn.SWITCH($I12,"Plan 1600",25*12/26,"Plan 1400",20*12/26,"Plan 1200",15*12/26,"Plan 1000",2*12/26,"")</f>
        <v>#N/A</v>
      </c>
    </row>
    <row r="13" spans="1:12" x14ac:dyDescent="0.25">
      <c r="A13" s="9" t="s">
        <v>43</v>
      </c>
      <c r="B13">
        <f>VLOOKUP(A13,'12.5'!A:B,2,FALSE)</f>
        <v>0</v>
      </c>
      <c r="C13" t="e" cm="1">
        <f t="array" ref="C13">_xlfn.IFS(
B13=-738.46,"Plan 1600",
B13=-646.15,"Plan 1400",
B13=-553.85,"Plan 1200",
B13=-461.54,"Plan 1000"
)</f>
        <v>#N/A</v>
      </c>
      <c r="D13" s="12" t="e" cm="1">
        <f t="array" ref="D13">_xlfn.SWITCH($C13,"Plan 1600",15*12/26,"Plan 1400",10*12/26,"Plan 1200",5*12/26,"Plan 1000",1.5*12/26,"")</f>
        <v>#N/A</v>
      </c>
      <c r="E13" s="12" t="e" cm="1">
        <f t="array" ref="E13">_xlfn.SWITCH($C13,"Plan 1600",97*12/26,"Plan 1400",78*12/26,"Plan 1200",60*12/26,"Plan 1000",25*12/26,"")</f>
        <v>#N/A</v>
      </c>
      <c r="F13" s="12" t="e" cm="1">
        <f t="array" ref="F13">_xlfn.SWITCH($C13,"Plan 1600",25*12/26,"Plan 1400",20*12/26,"Plan 1200",15*12/26,"Plan 1000",2*12/26,"")</f>
        <v>#N/A</v>
      </c>
      <c r="G13" s="3"/>
      <c r="H13">
        <f>VLOOKUP(A13,'12.22'!A:B,2,FALSE)</f>
        <v>0</v>
      </c>
      <c r="I13" t="e" cm="1">
        <f t="array" ref="I13">_xlfn.IFS(
H13=-738.46,"Plan 1600",
B13=-646.15,"Plan 1400",
B13=-553.85,"Plan 1200",
B13=-461.54,"Plan 1000"
)</f>
        <v>#N/A</v>
      </c>
      <c r="J13" s="12" t="e" cm="1">
        <f t="array" ref="J13">_xlfn.SWITCH($I13,"Plan 1600",15*12/26,"Plan 1400",10*12/26,"Plan 1200",5*12/26,"Plan 1000",1.5*12/26,"")</f>
        <v>#N/A</v>
      </c>
      <c r="K13" s="12" t="e" cm="1">
        <f t="array" ref="K13">_xlfn.SWITCH($I13,"Plan 1600",97*12/26,"Plan 1400",78*12/26,"Plan 1200",60*12/26,"Plan 1000",25*12/26,"")</f>
        <v>#N/A</v>
      </c>
      <c r="L13" s="12" t="e" cm="1">
        <f t="array" ref="L13">_xlfn.SWITCH($I13,"Plan 1600",25*12/26,"Plan 1400",20*12/26,"Plan 1200",15*12/26,"Plan 1000",2*12/26,"")</f>
        <v>#N/A</v>
      </c>
    </row>
    <row r="14" spans="1:12" x14ac:dyDescent="0.25">
      <c r="A14" s="9" t="s">
        <v>58</v>
      </c>
      <c r="B14">
        <f>VLOOKUP(A14,'12.5'!A:B,2,FALSE)</f>
        <v>0</v>
      </c>
      <c r="C14" t="e" cm="1">
        <f t="array" ref="C14">_xlfn.IFS(
B14=-738.46,"Plan 1600",
B14=-646.15,"Plan 1400",
B14=-553.85,"Plan 1200",
B14=-461.54,"Plan 1000"
)</f>
        <v>#N/A</v>
      </c>
      <c r="D14" s="12" t="e" cm="1">
        <f t="array" ref="D14">_xlfn.SWITCH($C14,"Plan 1600",15*12/26,"Plan 1400",10*12/26,"Plan 1200",5*12/26,"Plan 1000",1.5*12/26,"")</f>
        <v>#N/A</v>
      </c>
      <c r="E14" s="12" t="e" cm="1">
        <f t="array" ref="E14">_xlfn.SWITCH($C14,"Plan 1600",97*12/26,"Plan 1400",78*12/26,"Plan 1200",60*12/26,"Plan 1000",25*12/26,"")</f>
        <v>#N/A</v>
      </c>
      <c r="F14" s="12" t="e" cm="1">
        <f t="array" ref="F14">_xlfn.SWITCH($C14,"Plan 1600",25*12/26,"Plan 1400",20*12/26,"Plan 1200",15*12/26,"Plan 1000",2*12/26,"")</f>
        <v>#N/A</v>
      </c>
      <c r="G14" s="3"/>
      <c r="H14">
        <f>VLOOKUP(A14,'12.22'!A:B,2,FALSE)</f>
        <v>0</v>
      </c>
      <c r="I14" t="e" cm="1">
        <f t="array" ref="I14">_xlfn.IFS(
H14=-738.46,"Plan 1600",
B14=-646.15,"Plan 1400",
B14=-553.85,"Plan 1200",
B14=-461.54,"Plan 1000"
)</f>
        <v>#N/A</v>
      </c>
      <c r="J14" s="12" t="e" cm="1">
        <f t="array" ref="J14">_xlfn.SWITCH($I14,"Plan 1600",15*12/26,"Plan 1400",10*12/26,"Plan 1200",5*12/26,"Plan 1000",1.5*12/26,"")</f>
        <v>#N/A</v>
      </c>
      <c r="K14" s="12" t="e" cm="1">
        <f t="array" ref="K14">_xlfn.SWITCH($I14,"Plan 1600",97*12/26,"Plan 1400",78*12/26,"Plan 1200",60*12/26,"Plan 1000",25*12/26,"")</f>
        <v>#N/A</v>
      </c>
      <c r="L14" s="12" t="e" cm="1">
        <f t="array" ref="L14">_xlfn.SWITCH($I14,"Plan 1600",25*12/26,"Plan 1400",20*12/26,"Plan 1200",15*12/26,"Plan 1000",2*12/26,"")</f>
        <v>#N/A</v>
      </c>
    </row>
    <row r="15" spans="1:12" x14ac:dyDescent="0.25">
      <c r="A15" s="9" t="s">
        <v>61</v>
      </c>
      <c r="B15">
        <f>VLOOKUP(A15,'12.5'!A:B,2,FALSE)</f>
        <v>0</v>
      </c>
      <c r="C15" t="e" cm="1">
        <f t="array" ref="C15">_xlfn.IFS(
B15=-738.46,"Plan 1600",
B15=-646.15,"Plan 1400",
B15=-553.85,"Plan 1200",
B15=-461.54,"Plan 1000"
)</f>
        <v>#N/A</v>
      </c>
      <c r="D15" s="12" t="e" cm="1">
        <f t="array" ref="D15">_xlfn.SWITCH($C15,"Plan 1600",15*12/26,"Plan 1400",10*12/26,"Plan 1200",5*12/26,"Plan 1000",1.5*12/26,"")</f>
        <v>#N/A</v>
      </c>
      <c r="E15" s="12" t="e" cm="1">
        <f t="array" ref="E15">_xlfn.SWITCH($C15,"Plan 1600",97*12/26,"Plan 1400",78*12/26,"Plan 1200",60*12/26,"Plan 1000",25*12/26,"")</f>
        <v>#N/A</v>
      </c>
      <c r="F15" s="12" t="e" cm="1">
        <f t="array" ref="F15">_xlfn.SWITCH($C15,"Plan 1600",25*12/26,"Plan 1400",20*12/26,"Plan 1200",15*12/26,"Plan 1000",2*12/26,"")</f>
        <v>#N/A</v>
      </c>
      <c r="G15" s="3"/>
      <c r="H15">
        <f>VLOOKUP(A15,'12.22'!A:B,2,FALSE)</f>
        <v>0</v>
      </c>
      <c r="I15" t="e" cm="1">
        <f t="array" ref="I15">_xlfn.IFS(
H15=-738.46,"Plan 1600",
B15=-646.15,"Plan 1400",
B15=-553.85,"Plan 1200",
B15=-461.54,"Plan 1000"
)</f>
        <v>#N/A</v>
      </c>
      <c r="J15" s="12" t="e" cm="1">
        <f t="array" ref="J15">_xlfn.SWITCH($I15,"Plan 1600",15*12/26,"Plan 1400",10*12/26,"Plan 1200",5*12/26,"Plan 1000",1.5*12/26,"")</f>
        <v>#N/A</v>
      </c>
      <c r="K15" s="12" t="e" cm="1">
        <f t="array" ref="K15">_xlfn.SWITCH($I15,"Plan 1600",97*12/26,"Plan 1400",78*12/26,"Plan 1200",60*12/26,"Plan 1000",25*12/26,"")</f>
        <v>#N/A</v>
      </c>
      <c r="L15" s="12" t="e" cm="1">
        <f t="array" ref="L15">_xlfn.SWITCH($I15,"Plan 1600",25*12/26,"Plan 1400",20*12/26,"Plan 1200",15*12/26,"Plan 1000",2*12/26,"")</f>
        <v>#N/A</v>
      </c>
    </row>
    <row r="16" spans="1:12" x14ac:dyDescent="0.25">
      <c r="A16" s="9" t="s">
        <v>75</v>
      </c>
      <c r="B16">
        <f>VLOOKUP(A16,'12.5'!A:B,2,FALSE)</f>
        <v>0</v>
      </c>
      <c r="C16" t="e" cm="1">
        <f t="array" ref="C16">_xlfn.IFS(
B16=-738.46,"Plan 1600",
B16=-646.15,"Plan 1400",
B16=-553.85,"Plan 1200",
B16=-461.54,"Plan 1000"
)</f>
        <v>#N/A</v>
      </c>
      <c r="D16" s="12" t="e" cm="1">
        <f t="array" ref="D16">_xlfn.SWITCH($C16,"Plan 1600",15*12/26,"Plan 1400",10*12/26,"Plan 1200",5*12/26,"Plan 1000",1.5*12/26,"")</f>
        <v>#N/A</v>
      </c>
      <c r="E16" s="12" t="e" cm="1">
        <f t="array" ref="E16">_xlfn.SWITCH($C16,"Plan 1600",97*12/26,"Plan 1400",78*12/26,"Plan 1200",60*12/26,"Plan 1000",25*12/26,"")</f>
        <v>#N/A</v>
      </c>
      <c r="F16" s="12" t="e" cm="1">
        <f t="array" ref="F16">_xlfn.SWITCH($C16,"Plan 1600",25*12/26,"Plan 1400",20*12/26,"Plan 1200",15*12/26,"Plan 1000",2*12/26,"")</f>
        <v>#N/A</v>
      </c>
      <c r="G16" s="3"/>
      <c r="H16">
        <f>VLOOKUP(A16,'12.22'!A:B,2,FALSE)</f>
        <v>0</v>
      </c>
      <c r="I16" t="e" cm="1">
        <f t="array" ref="I16">_xlfn.IFS(
H16=-738.46,"Plan 1600",
B16=-646.15,"Plan 1400",
B16=-553.85,"Plan 1200",
B16=-461.54,"Plan 1000"
)</f>
        <v>#N/A</v>
      </c>
      <c r="J16" s="12" t="e" cm="1">
        <f t="array" ref="J16">_xlfn.SWITCH($I16,"Plan 1600",15*12/26,"Plan 1400",10*12/26,"Plan 1200",5*12/26,"Plan 1000",1.5*12/26,"")</f>
        <v>#N/A</v>
      </c>
      <c r="K16" s="12" t="e" cm="1">
        <f t="array" ref="K16">_xlfn.SWITCH($I16,"Plan 1600",97*12/26,"Plan 1400",78*12/26,"Plan 1200",60*12/26,"Plan 1000",25*12/26,"")</f>
        <v>#N/A</v>
      </c>
      <c r="L16" s="12" t="e" cm="1">
        <f t="array" ref="L16">_xlfn.SWITCH($I16,"Plan 1600",25*12/26,"Plan 1400",20*12/26,"Plan 1200",15*12/26,"Plan 1000",2*12/26,"")</f>
        <v>#N/A</v>
      </c>
    </row>
    <row r="17" spans="1:12" x14ac:dyDescent="0.25">
      <c r="A17" s="9" t="s">
        <v>76</v>
      </c>
      <c r="B17">
        <f>VLOOKUP(A17,'12.5'!A:B,2,FALSE)</f>
        <v>0</v>
      </c>
      <c r="C17" t="e" cm="1">
        <f t="array" ref="C17">_xlfn.IFS(
B17=-738.46,"Plan 1600",
B17=-646.15,"Plan 1400",
B17=-553.85,"Plan 1200",
B17=-461.54,"Plan 1000"
)</f>
        <v>#N/A</v>
      </c>
      <c r="D17" s="12" t="e" cm="1">
        <f t="array" ref="D17">_xlfn.SWITCH($C17,"Plan 1600",15*12/26,"Plan 1400",10*12/26,"Plan 1200",5*12/26,"Plan 1000",1.5*12/26,"")</f>
        <v>#N/A</v>
      </c>
      <c r="E17" s="12" t="e" cm="1">
        <f t="array" ref="E17">_xlfn.SWITCH($C17,"Plan 1600",97*12/26,"Plan 1400",78*12/26,"Plan 1200",60*12/26,"Plan 1000",25*12/26,"")</f>
        <v>#N/A</v>
      </c>
      <c r="F17" s="12" t="e" cm="1">
        <f t="array" ref="F17">_xlfn.SWITCH($C17,"Plan 1600",25*12/26,"Plan 1400",20*12/26,"Plan 1200",15*12/26,"Plan 1000",2*12/26,"")</f>
        <v>#N/A</v>
      </c>
      <c r="G17" s="3"/>
      <c r="H17">
        <f>VLOOKUP(A17,'12.22'!A:B,2,FALSE)</f>
        <v>0</v>
      </c>
      <c r="I17" t="e" cm="1">
        <f t="array" ref="I17">_xlfn.IFS(
H17=-738.46,"Plan 1600",
B17=-646.15,"Plan 1400",
B17=-553.85,"Plan 1200",
B17=-461.54,"Plan 1000"
)</f>
        <v>#N/A</v>
      </c>
      <c r="J17" s="12" t="e" cm="1">
        <f t="array" ref="J17">_xlfn.SWITCH($I17,"Plan 1600",15*12/26,"Plan 1400",10*12/26,"Plan 1200",5*12/26,"Plan 1000",1.5*12/26,"")</f>
        <v>#N/A</v>
      </c>
      <c r="K17" s="12" t="e" cm="1">
        <f t="array" ref="K17">_xlfn.SWITCH($I17,"Plan 1600",97*12/26,"Plan 1400",78*12/26,"Plan 1200",60*12/26,"Plan 1000",25*12/26,"")</f>
        <v>#N/A</v>
      </c>
      <c r="L17" s="12" t="e" cm="1">
        <f t="array" ref="L17">_xlfn.SWITCH($I17,"Plan 1600",25*12/26,"Plan 1400",20*12/26,"Plan 1200",15*12/26,"Plan 1000",2*12/26,"")</f>
        <v>#N/A</v>
      </c>
    </row>
    <row r="18" spans="1:12" x14ac:dyDescent="0.25">
      <c r="A18" s="9" t="s">
        <v>49</v>
      </c>
      <c r="B18">
        <f>VLOOKUP(A18,'12.5'!A:B,2,FALSE)</f>
        <v>0</v>
      </c>
      <c r="C18" t="e" cm="1">
        <f t="array" ref="C18">_xlfn.IFS(
B18=-738.46,"Plan 1600",
B18=-646.15,"Plan 1400",
B18=-553.85,"Plan 1200",
B18=-461.54,"Plan 1000"
)</f>
        <v>#N/A</v>
      </c>
      <c r="D18" s="12" t="e" cm="1">
        <f t="array" ref="D18">_xlfn.SWITCH($C18,"Plan 1600",15*12/26,"Plan 1400",10*12/26,"Plan 1200",5*12/26,"Plan 1000",1.5*12/26,"")</f>
        <v>#N/A</v>
      </c>
      <c r="E18" s="12" t="e" cm="1">
        <f t="array" ref="E18">_xlfn.SWITCH($C18,"Plan 1600",97*12/26,"Plan 1400",78*12/26,"Plan 1200",60*12/26,"Plan 1000",25*12/26,"")</f>
        <v>#N/A</v>
      </c>
      <c r="F18" s="12" t="e" cm="1">
        <f t="array" ref="F18">_xlfn.SWITCH($C18,"Plan 1600",25*12/26,"Plan 1400",20*12/26,"Plan 1200",15*12/26,"Plan 1000",2*12/26,"")</f>
        <v>#N/A</v>
      </c>
      <c r="G18" s="3"/>
      <c r="H18" t="e">
        <f>VLOOKUP(A18,'12.22'!A:B,2,FALSE)</f>
        <v>#N/A</v>
      </c>
      <c r="I18" t="e" cm="1">
        <f t="array" ref="I18">_xlfn.IFS(
H18=-738.46,"Plan 1600",
B18=-646.15,"Plan 1400",
B18=-553.85,"Plan 1200",
B18=-461.54,"Plan 1000"
)</f>
        <v>#N/A</v>
      </c>
      <c r="J18" s="12" t="e" cm="1">
        <f t="array" ref="J18">_xlfn.SWITCH($I18,"Plan 1600",15*12/26,"Plan 1400",10*12/26,"Plan 1200",5*12/26,"Plan 1000",1.5*12/26,"")</f>
        <v>#N/A</v>
      </c>
      <c r="K18" s="12" t="e" cm="1">
        <f t="array" ref="K18">_xlfn.SWITCH($I18,"Plan 1600",97*12/26,"Plan 1400",78*12/26,"Plan 1200",60*12/26,"Plan 1000",25*12/26,"")</f>
        <v>#N/A</v>
      </c>
      <c r="L18" s="12" t="e" cm="1">
        <f t="array" ref="L18">_xlfn.SWITCH($I18,"Plan 1600",25*12/26,"Plan 1400",20*12/26,"Plan 1200",15*12/26,"Plan 1000",2*12/26,"")</f>
        <v>#N/A</v>
      </c>
    </row>
    <row r="19" spans="1:12" x14ac:dyDescent="0.25">
      <c r="A19" s="9" t="s">
        <v>59</v>
      </c>
      <c r="B19">
        <f>VLOOKUP(A19,'12.5'!A:B,2,FALSE)</f>
        <v>0</v>
      </c>
      <c r="C19" t="e" cm="1">
        <f t="array" ref="C19">_xlfn.IFS(
B19=-738.46,"Plan 1600",
B19=-646.15,"Plan 1400",
B19=-553.85,"Plan 1200",
B19=-461.54,"Plan 1000"
)</f>
        <v>#N/A</v>
      </c>
      <c r="D19" s="12" t="e" cm="1">
        <f t="array" ref="D19">_xlfn.SWITCH($C19,"Plan 1600",15*12/26,"Plan 1400",10*12/26,"Plan 1200",5*12/26,"Plan 1000",1.5*12/26,"")</f>
        <v>#N/A</v>
      </c>
      <c r="E19" s="12" t="e" cm="1">
        <f t="array" ref="E19">_xlfn.SWITCH($C19,"Plan 1600",97*12/26,"Plan 1400",78*12/26,"Plan 1200",60*12/26,"Plan 1000",25*12/26,"")</f>
        <v>#N/A</v>
      </c>
      <c r="F19" s="12" t="e" cm="1">
        <f t="array" ref="F19">_xlfn.SWITCH($C19,"Plan 1600",25*12/26,"Plan 1400",20*12/26,"Plan 1200",15*12/26,"Plan 1000",2*12/26,"")</f>
        <v>#N/A</v>
      </c>
      <c r="G19" s="3"/>
      <c r="H19" t="e">
        <f>VLOOKUP(A19,'12.22'!A:B,2,FALSE)</f>
        <v>#N/A</v>
      </c>
      <c r="I19" t="e" cm="1">
        <f t="array" ref="I19">_xlfn.IFS(
H19=-738.46,"Plan 1600",
B19=-646.15,"Plan 1400",
B19=-553.85,"Plan 1200",
B19=-461.54,"Plan 1000"
)</f>
        <v>#N/A</v>
      </c>
      <c r="J19" s="12" t="e" cm="1">
        <f t="array" ref="J19">_xlfn.SWITCH($I19,"Plan 1600",15*12/26,"Plan 1400",10*12/26,"Plan 1200",5*12/26,"Plan 1000",1.5*12/26,"")</f>
        <v>#N/A</v>
      </c>
      <c r="K19" s="12" t="e" cm="1">
        <f t="array" ref="K19">_xlfn.SWITCH($I19,"Plan 1600",97*12/26,"Plan 1400",78*12/26,"Plan 1200",60*12/26,"Plan 1000",25*12/26,"")</f>
        <v>#N/A</v>
      </c>
      <c r="L19" s="12" t="e" cm="1">
        <f t="array" ref="L19">_xlfn.SWITCH($I19,"Plan 1600",25*12/26,"Plan 1400",20*12/26,"Plan 1200",15*12/26,"Plan 1000",2*12/26,"")</f>
        <v>#N/A</v>
      </c>
    </row>
    <row r="20" spans="1:12" x14ac:dyDescent="0.25">
      <c r="A20" s="9" t="s">
        <v>66</v>
      </c>
      <c r="B20">
        <f>VLOOKUP(A20,'12.5'!A:B,2,FALSE)</f>
        <v>0</v>
      </c>
      <c r="C20" t="e" cm="1">
        <f t="array" ref="C20">_xlfn.IFS(
B20=-738.46,"Plan 1600",
B20=-646.15,"Plan 1400",
B20=-553.85,"Plan 1200",
B20=-461.54,"Plan 1000"
)</f>
        <v>#N/A</v>
      </c>
      <c r="D20" s="12" t="e" cm="1">
        <f t="array" ref="D20">_xlfn.SWITCH($C20,"Plan 1600",15*12/26,"Plan 1400",10*12/26,"Plan 1200",5*12/26,"Plan 1000",1.5*12/26,"")</f>
        <v>#N/A</v>
      </c>
      <c r="E20" s="12" t="e" cm="1">
        <f t="array" ref="E20">_xlfn.SWITCH($C20,"Plan 1600",97*12/26,"Plan 1400",78*12/26,"Plan 1200",60*12/26,"Plan 1000",25*12/26,"")</f>
        <v>#N/A</v>
      </c>
      <c r="F20" s="12" t="e" cm="1">
        <f t="array" ref="F20">_xlfn.SWITCH($C20,"Plan 1600",25*12/26,"Plan 1400",20*12/26,"Plan 1200",15*12/26,"Plan 1000",2*12/26,"")</f>
        <v>#N/A</v>
      </c>
      <c r="G20" s="3"/>
      <c r="H20" t="e">
        <f>VLOOKUP(A20,'12.22'!A:B,2,FALSE)</f>
        <v>#N/A</v>
      </c>
      <c r="I20" t="e" cm="1">
        <f t="array" ref="I20">_xlfn.IFS(
H20=-738.46,"Plan 1600",
B20=-646.15,"Plan 1400",
B20=-553.85,"Plan 1200",
B20=-461.54,"Plan 1000"
)</f>
        <v>#N/A</v>
      </c>
      <c r="J20" s="12" t="e" cm="1">
        <f t="array" ref="J20">_xlfn.SWITCH($I20,"Plan 1600",15*12/26,"Plan 1400",10*12/26,"Plan 1200",5*12/26,"Plan 1000",1.5*12/26,"")</f>
        <v>#N/A</v>
      </c>
      <c r="K20" s="12" t="e" cm="1">
        <f t="array" ref="K20">_xlfn.SWITCH($I20,"Plan 1600",97*12/26,"Plan 1400",78*12/26,"Plan 1200",60*12/26,"Plan 1000",25*12/26,"")</f>
        <v>#N/A</v>
      </c>
      <c r="L20" s="12" t="e" cm="1">
        <f t="array" ref="L20">_xlfn.SWITCH($I20,"Plan 1600",25*12/26,"Plan 1400",20*12/26,"Plan 1200",15*12/26,"Plan 1000",2*12/26,"")</f>
        <v>#N/A</v>
      </c>
    </row>
    <row r="21" spans="1:12" x14ac:dyDescent="0.25">
      <c r="A21" s="9" t="s">
        <v>67</v>
      </c>
      <c r="B21">
        <f>VLOOKUP(A21,'12.5'!A:B,2,FALSE)</f>
        <v>0</v>
      </c>
      <c r="C21" t="e" cm="1">
        <f t="array" ref="C21">_xlfn.IFS(
B21=-738.46,"Plan 1600",
B21=-646.15,"Plan 1400",
B21=-553.85,"Plan 1200",
B21=-461.54,"Plan 1000"
)</f>
        <v>#N/A</v>
      </c>
      <c r="D21" s="12" t="e" cm="1">
        <f t="array" ref="D21">_xlfn.SWITCH($C21,"Plan 1600",15*12/26,"Plan 1400",10*12/26,"Plan 1200",5*12/26,"Plan 1000",1.5*12/26,"")</f>
        <v>#N/A</v>
      </c>
      <c r="E21" s="12" t="e" cm="1">
        <f t="array" ref="E21">_xlfn.SWITCH($C21,"Plan 1600",97*12/26,"Plan 1400",78*12/26,"Plan 1200",60*12/26,"Plan 1000",25*12/26,"")</f>
        <v>#N/A</v>
      </c>
      <c r="F21" s="12" t="e" cm="1">
        <f t="array" ref="F21">_xlfn.SWITCH($C21,"Plan 1600",25*12/26,"Plan 1400",20*12/26,"Plan 1200",15*12/26,"Plan 1000",2*12/26,"")</f>
        <v>#N/A</v>
      </c>
      <c r="G21" s="3"/>
      <c r="H21" t="e">
        <f>VLOOKUP(A21,'12.22'!A:B,2,FALSE)</f>
        <v>#N/A</v>
      </c>
      <c r="I21" t="e" cm="1">
        <f t="array" ref="I21">_xlfn.IFS(
H21=-738.46,"Plan 1600",
B21=-646.15,"Plan 1400",
B21=-553.85,"Plan 1200",
B21=-461.54,"Plan 1000"
)</f>
        <v>#N/A</v>
      </c>
      <c r="J21" s="12" t="e" cm="1">
        <f t="array" ref="J21">_xlfn.SWITCH($I21,"Plan 1600",15*12/26,"Plan 1400",10*12/26,"Plan 1200",5*12/26,"Plan 1000",1.5*12/26,"")</f>
        <v>#N/A</v>
      </c>
      <c r="K21" s="12" t="e" cm="1">
        <f t="array" ref="K21">_xlfn.SWITCH($I21,"Plan 1600",97*12/26,"Plan 1400",78*12/26,"Plan 1200",60*12/26,"Plan 1000",25*12/26,"")</f>
        <v>#N/A</v>
      </c>
      <c r="L21" s="12" t="e" cm="1">
        <f t="array" ref="L21">_xlfn.SWITCH($I21,"Plan 1600",25*12/26,"Plan 1400",20*12/26,"Plan 1200",15*12/26,"Plan 1000",2*12/26,"")</f>
        <v>#N/A</v>
      </c>
    </row>
    <row r="22" spans="1:12" x14ac:dyDescent="0.25">
      <c r="A22" s="9" t="s">
        <v>74</v>
      </c>
      <c r="B22">
        <f>VLOOKUP(A22,'12.5'!A:B,2,FALSE)</f>
        <v>0</v>
      </c>
      <c r="C22" t="e" cm="1">
        <f t="array" ref="C22">_xlfn.IFS(
B22=-738.46,"Plan 1600",
B22=-646.15,"Plan 1400",
B22=-553.85,"Plan 1200",
B22=-461.54,"Plan 1000"
)</f>
        <v>#N/A</v>
      </c>
      <c r="D22" s="12" t="e" cm="1">
        <f t="array" ref="D22">_xlfn.SWITCH($C22,"Plan 1600",15*12/26,"Plan 1400",10*12/26,"Plan 1200",5*12/26,"Plan 1000",1.5*12/26,"")</f>
        <v>#N/A</v>
      </c>
      <c r="E22" s="12" t="e" cm="1">
        <f t="array" ref="E22">_xlfn.SWITCH($C22,"Plan 1600",97*12/26,"Plan 1400",78*12/26,"Plan 1200",60*12/26,"Plan 1000",25*12/26,"")</f>
        <v>#N/A</v>
      </c>
      <c r="F22" s="12" t="e" cm="1">
        <f t="array" ref="F22">_xlfn.SWITCH($C22,"Plan 1600",25*12/26,"Plan 1400",20*12/26,"Plan 1200",15*12/26,"Plan 1000",2*12/26,"")</f>
        <v>#N/A</v>
      </c>
      <c r="G22" s="3"/>
      <c r="H22" t="e">
        <f>VLOOKUP(A22,'12.22'!A:B,2,FALSE)</f>
        <v>#N/A</v>
      </c>
      <c r="I22" t="e" cm="1">
        <f t="array" ref="I22">_xlfn.IFS(
H22=-738.46,"Plan 1600",
B22=-646.15,"Plan 1400",
B22=-553.85,"Plan 1200",
B22=-461.54,"Plan 1000"
)</f>
        <v>#N/A</v>
      </c>
      <c r="J22" s="12" t="e" cm="1">
        <f t="array" ref="J22">_xlfn.SWITCH($I22,"Plan 1600",15*12/26,"Plan 1400",10*12/26,"Plan 1200",5*12/26,"Plan 1000",1.5*12/26,"")</f>
        <v>#N/A</v>
      </c>
      <c r="K22" s="12" t="e" cm="1">
        <f t="array" ref="K22">_xlfn.SWITCH($I22,"Plan 1600",97*12/26,"Plan 1400",78*12/26,"Plan 1200",60*12/26,"Plan 1000",25*12/26,"")</f>
        <v>#N/A</v>
      </c>
      <c r="L22" s="12" t="e" cm="1">
        <f t="array" ref="L22">_xlfn.SWITCH($I22,"Plan 1600",25*12/26,"Plan 1400",20*12/26,"Plan 1200",15*12/26,"Plan 1000",2*12/26,"")</f>
        <v>#N/A</v>
      </c>
    </row>
    <row r="23" spans="1:12" x14ac:dyDescent="0.25">
      <c r="A23" s="9" t="s">
        <v>79</v>
      </c>
      <c r="B23" t="e">
        <f>VLOOKUP(A23,'12.5'!A:B,2,FALSE)</f>
        <v>#N/A</v>
      </c>
      <c r="C23" t="e" cm="1">
        <f t="array" ref="C23">_xlfn.IFS(
B23=-738.46,"Plan 1600",
B23=-646.15,"Plan 1400",
B23=-553.85,"Plan 1200",
B23=-461.54,"Plan 1000"
)</f>
        <v>#N/A</v>
      </c>
      <c r="D23" s="12" t="e" cm="1">
        <f t="array" ref="D23">_xlfn.SWITCH($C23,"Plan 1600",15*12/26,"Plan 1400",10*12/26,"Plan 1200",5*12/26,"Plan 1000",1.5*12/26,"")</f>
        <v>#N/A</v>
      </c>
      <c r="E23" s="12" t="e" cm="1">
        <f t="array" ref="E23">_xlfn.SWITCH($C23,"Plan 1600",97*12/26,"Plan 1400",78*12/26,"Plan 1200",60*12/26,"Plan 1000",25*12/26,"")</f>
        <v>#N/A</v>
      </c>
      <c r="F23" s="12" t="e" cm="1">
        <f t="array" ref="F23">_xlfn.SWITCH($C23,"Plan 1600",25*12/26,"Plan 1400",20*12/26,"Plan 1200",15*12/26,"Plan 1000",2*12/26,"")</f>
        <v>#N/A</v>
      </c>
      <c r="G23" s="3"/>
      <c r="H23">
        <f>VLOOKUP(A23,'12.22'!A:B,2,FALSE)</f>
        <v>0</v>
      </c>
      <c r="I23" t="e" cm="1">
        <f t="array" ref="I23">_xlfn.IFS(
H23=-738.46,"Plan 1600",
B23=-646.15,"Plan 1400",
B23=-553.85,"Plan 1200",
B23=-461.54,"Plan 1000"
)</f>
        <v>#N/A</v>
      </c>
      <c r="J23" s="12" t="e" cm="1">
        <f t="array" ref="J23">_xlfn.SWITCH($I23,"Plan 1600",15*12/26,"Plan 1400",10*12/26,"Plan 1200",5*12/26,"Plan 1000",1.5*12/26,"")</f>
        <v>#N/A</v>
      </c>
      <c r="K23" s="12" t="e" cm="1">
        <f t="array" ref="K23">_xlfn.SWITCH($I23,"Plan 1600",97*12/26,"Plan 1400",78*12/26,"Plan 1200",60*12/26,"Plan 1000",25*12/26,"")</f>
        <v>#N/A</v>
      </c>
      <c r="L23" s="12" t="e" cm="1">
        <f t="array" ref="L23">_xlfn.SWITCH($I23,"Plan 1600",25*12/26,"Plan 1400",20*12/26,"Plan 1200",15*12/26,"Plan 1000",2*12/26,"")</f>
        <v>#N/A</v>
      </c>
    </row>
    <row r="24" spans="1:12" x14ac:dyDescent="0.25">
      <c r="A24" s="9" t="s">
        <v>80</v>
      </c>
      <c r="B24" t="e">
        <f>VLOOKUP(A24,'12.5'!A:B,2,FALSE)</f>
        <v>#N/A</v>
      </c>
      <c r="C24" t="e" cm="1">
        <f t="array" ref="C24">_xlfn.IFS(
B24=-738.46,"Plan 1600",
B24=-646.15,"Plan 1400",
B24=-553.85,"Plan 1200",
B24=-461.54,"Plan 1000"
)</f>
        <v>#N/A</v>
      </c>
      <c r="D24" s="12" t="e" cm="1">
        <f t="array" ref="D24">_xlfn.SWITCH($C24,"Plan 1600",15*12/26,"Plan 1400",10*12/26,"Plan 1200",5*12/26,"Plan 1000",1.5*12/26,"")</f>
        <v>#N/A</v>
      </c>
      <c r="E24" s="12" t="e" cm="1">
        <f t="array" ref="E24">_xlfn.SWITCH($C24,"Plan 1600",97*12/26,"Plan 1400",78*12/26,"Plan 1200",60*12/26,"Plan 1000",25*12/26,"")</f>
        <v>#N/A</v>
      </c>
      <c r="F24" s="12" t="e" cm="1">
        <f t="array" ref="F24">_xlfn.SWITCH($C24,"Plan 1600",25*12/26,"Plan 1400",20*12/26,"Plan 1200",15*12/26,"Plan 1000",2*12/26,"")</f>
        <v>#N/A</v>
      </c>
      <c r="G24" s="3"/>
      <c r="H24">
        <f>VLOOKUP(A24,'12.22'!A:B,2,FALSE)</f>
        <v>0</v>
      </c>
      <c r="I24" t="e" cm="1">
        <f t="array" ref="I24">_xlfn.IFS(
H24=-738.46,"Plan 1600",
B24=-646.15,"Plan 1400",
B24=-553.85,"Plan 1200",
B24=-461.54,"Plan 1000"
)</f>
        <v>#N/A</v>
      </c>
      <c r="J24" s="12" t="e" cm="1">
        <f t="array" ref="J24">_xlfn.SWITCH($I24,"Plan 1600",15*12/26,"Plan 1400",10*12/26,"Plan 1200",5*12/26,"Plan 1000",1.5*12/26,"")</f>
        <v>#N/A</v>
      </c>
      <c r="K24" s="12" t="e" cm="1">
        <f t="array" ref="K24">_xlfn.SWITCH($I24,"Plan 1600",97*12/26,"Plan 1400",78*12/26,"Plan 1200",60*12/26,"Plan 1000",25*12/26,"")</f>
        <v>#N/A</v>
      </c>
      <c r="L24" s="12" t="e" cm="1">
        <f t="array" ref="L24">_xlfn.SWITCH($I24,"Plan 1600",25*12/26,"Plan 1400",20*12/26,"Plan 1200",15*12/26,"Plan 1000",2*12/26,"")</f>
        <v>#N/A</v>
      </c>
    </row>
    <row r="25" spans="1:12" x14ac:dyDescent="0.25">
      <c r="A25" s="9" t="s">
        <v>81</v>
      </c>
      <c r="B25" t="e">
        <f>VLOOKUP(A25,'12.5'!A:B,2,FALSE)</f>
        <v>#N/A</v>
      </c>
      <c r="C25" t="e" cm="1">
        <f t="array" ref="C25">_xlfn.IFS(
B25=-738.46,"Plan 1600",
B25=-646.15,"Plan 1400",
B25=-553.85,"Plan 1200",
B25=-461.54,"Plan 1000"
)</f>
        <v>#N/A</v>
      </c>
      <c r="D25" s="12" t="e" cm="1">
        <f t="array" ref="D25">_xlfn.SWITCH($C25,"Plan 1600",15*12/26,"Plan 1400",10*12/26,"Plan 1200",5*12/26,"Plan 1000",1.5*12/26,"")</f>
        <v>#N/A</v>
      </c>
      <c r="E25" s="12" t="e" cm="1">
        <f t="array" ref="E25">_xlfn.SWITCH($C25,"Plan 1600",97*12/26,"Plan 1400",78*12/26,"Plan 1200",60*12/26,"Plan 1000",25*12/26,"")</f>
        <v>#N/A</v>
      </c>
      <c r="F25" s="12" t="e" cm="1">
        <f t="array" ref="F25">_xlfn.SWITCH($C25,"Plan 1600",25*12/26,"Plan 1400",20*12/26,"Plan 1200",15*12/26,"Plan 1000",2*12/26,"")</f>
        <v>#N/A</v>
      </c>
      <c r="G25" s="3"/>
      <c r="H25">
        <f>VLOOKUP(A25,'12.22'!A:B,2,FALSE)</f>
        <v>0</v>
      </c>
      <c r="I25" t="e" cm="1">
        <f t="array" ref="I25">_xlfn.IFS(
H25=-738.46,"Plan 1600",
B25=-646.15,"Plan 1400",
B25=-553.85,"Plan 1200",
B25=-461.54,"Plan 1000"
)</f>
        <v>#N/A</v>
      </c>
      <c r="J25" s="12" t="e" cm="1">
        <f t="array" ref="J25">_xlfn.SWITCH($I25,"Plan 1600",15*12/26,"Plan 1400",10*12/26,"Plan 1200",5*12/26,"Plan 1000",1.5*12/26,"")</f>
        <v>#N/A</v>
      </c>
      <c r="K25" s="12" t="e" cm="1">
        <f t="array" ref="K25">_xlfn.SWITCH($I25,"Plan 1600",97*12/26,"Plan 1400",78*12/26,"Plan 1200",60*12/26,"Plan 1000",25*12/26,"")</f>
        <v>#N/A</v>
      </c>
      <c r="L25" s="12" t="e" cm="1">
        <f t="array" ref="L25">_xlfn.SWITCH($I25,"Plan 1600",25*12/26,"Plan 1400",20*12/26,"Plan 1200",15*12/26,"Plan 1000",2*12/26,"")</f>
        <v>#N/A</v>
      </c>
    </row>
    <row r="26" spans="1:12" x14ac:dyDescent="0.25">
      <c r="A26" s="9" t="s">
        <v>82</v>
      </c>
      <c r="B26" t="e">
        <f>VLOOKUP(A26,'12.5'!A:B,2,FALSE)</f>
        <v>#N/A</v>
      </c>
      <c r="C26" t="e" cm="1">
        <f t="array" ref="C26">_xlfn.IFS(
B26=-738.46,"Plan 1600",
B26=-646.15,"Plan 1400",
B26=-553.85,"Plan 1200",
B26=-461.54,"Plan 1000"
)</f>
        <v>#N/A</v>
      </c>
      <c r="D26" s="12" t="e" cm="1">
        <f t="array" ref="D26">_xlfn.SWITCH($C26,"Plan 1600",15*12/26,"Plan 1400",10*12/26,"Plan 1200",5*12/26,"Plan 1000",1.5*12/26,"")</f>
        <v>#N/A</v>
      </c>
      <c r="E26" s="12" t="e" cm="1">
        <f t="array" ref="E26">_xlfn.SWITCH($C26,"Plan 1600",97*12/26,"Plan 1400",78*12/26,"Plan 1200",60*12/26,"Plan 1000",25*12/26,"")</f>
        <v>#N/A</v>
      </c>
      <c r="F26" s="12" t="e" cm="1">
        <f t="array" ref="F26">_xlfn.SWITCH($C26,"Plan 1600",25*12/26,"Plan 1400",20*12/26,"Plan 1200",15*12/26,"Plan 1000",2*12/26,"")</f>
        <v>#N/A</v>
      </c>
      <c r="G26" s="3"/>
      <c r="H26">
        <f>VLOOKUP(A26,'12.22'!A:B,2,FALSE)</f>
        <v>0</v>
      </c>
      <c r="I26" t="e" cm="1">
        <f t="array" ref="I26">_xlfn.IFS(
H26=-738.46,"Plan 1600",
B26=-646.15,"Plan 1400",
B26=-553.85,"Plan 1200",
B26=-461.54,"Plan 1000"
)</f>
        <v>#N/A</v>
      </c>
      <c r="J26" s="12" t="e" cm="1">
        <f t="array" ref="J26">_xlfn.SWITCH($I26,"Plan 1600",15*12/26,"Plan 1400",10*12/26,"Plan 1200",5*12/26,"Plan 1000",1.5*12/26,"")</f>
        <v>#N/A</v>
      </c>
      <c r="K26" s="12" t="e" cm="1">
        <f t="array" ref="K26">_xlfn.SWITCH($I26,"Plan 1600",97*12/26,"Plan 1400",78*12/26,"Plan 1200",60*12/26,"Plan 1000",25*12/26,"")</f>
        <v>#N/A</v>
      </c>
      <c r="L26" s="12" t="e" cm="1">
        <f t="array" ref="L26">_xlfn.SWITCH($I26,"Plan 1600",25*12/26,"Plan 1400",20*12/26,"Plan 1200",15*12/26,"Plan 1000",2*12/26,"")</f>
        <v>#N/A</v>
      </c>
    </row>
    <row r="27" spans="1:12" x14ac:dyDescent="0.25">
      <c r="A27" s="9" t="s">
        <v>83</v>
      </c>
      <c r="B27" t="e">
        <f>VLOOKUP(A27,'12.5'!A:B,2,FALSE)</f>
        <v>#N/A</v>
      </c>
      <c r="C27" t="e" cm="1">
        <f t="array" ref="C27">_xlfn.IFS(
B27=-738.46,"Plan 1600",
B27=-646.15,"Plan 1400",
B27=-553.85,"Plan 1200",
B27=-461.54,"Plan 1000"
)</f>
        <v>#N/A</v>
      </c>
      <c r="D27" s="12" t="e" cm="1">
        <f t="array" ref="D27">_xlfn.SWITCH($C27,"Plan 1600",15*12/26,"Plan 1400",10*12/26,"Plan 1200",5*12/26,"Plan 1000",1.5*12/26,"")</f>
        <v>#N/A</v>
      </c>
      <c r="E27" s="12" t="e" cm="1">
        <f t="array" ref="E27">_xlfn.SWITCH($C27,"Plan 1600",97*12/26,"Plan 1400",78*12/26,"Plan 1200",60*12/26,"Plan 1000",25*12/26,"")</f>
        <v>#N/A</v>
      </c>
      <c r="F27" s="12" t="e" cm="1">
        <f t="array" ref="F27">_xlfn.SWITCH($C27,"Plan 1600",25*12/26,"Plan 1400",20*12/26,"Plan 1200",15*12/26,"Plan 1000",2*12/26,"")</f>
        <v>#N/A</v>
      </c>
      <c r="G27" s="3"/>
      <c r="H27">
        <f>VLOOKUP(A27,'12.22'!A:B,2,FALSE)</f>
        <v>0</v>
      </c>
      <c r="I27" t="e" cm="1">
        <f t="array" ref="I27">_xlfn.IFS(
H27=-738.46,"Plan 1600",
B27=-646.15,"Plan 1400",
B27=-553.85,"Plan 1200",
B27=-461.54,"Plan 1000"
)</f>
        <v>#N/A</v>
      </c>
      <c r="J27" s="12" t="e" cm="1">
        <f t="array" ref="J27">_xlfn.SWITCH($I27,"Plan 1600",15*12/26,"Plan 1400",10*12/26,"Plan 1200",5*12/26,"Plan 1000",1.5*12/26,"")</f>
        <v>#N/A</v>
      </c>
      <c r="K27" s="12" t="e" cm="1">
        <f t="array" ref="K27">_xlfn.SWITCH($I27,"Plan 1600",97*12/26,"Plan 1400",78*12/26,"Plan 1200",60*12/26,"Plan 1000",25*12/26,"")</f>
        <v>#N/A</v>
      </c>
      <c r="L27" s="12" t="e" cm="1">
        <f t="array" ref="L27">_xlfn.SWITCH($I27,"Plan 1600",25*12/26,"Plan 1400",20*12/26,"Plan 1200",15*12/26,"Plan 1000",2*12/26,"")</f>
        <v>#N/A</v>
      </c>
    </row>
    <row r="28" spans="1:12" x14ac:dyDescent="0.25">
      <c r="A28" s="9" t="s">
        <v>64</v>
      </c>
      <c r="B28">
        <f>VLOOKUP(A28,'12.5'!A:B,2,FALSE)</f>
        <v>-738.46</v>
      </c>
      <c r="C28" t="str" cm="1">
        <f t="array" ref="C28">_xlfn.IFS(
B28=-738.46,"Plan 1600",
B28=-646.15,"Plan 1400",
B28=-553.85,"Plan 1200",
B28=-461.54,"Plan 1000"
)</f>
        <v>Plan 1600</v>
      </c>
      <c r="D28" s="12" cm="1">
        <f t="array" ref="D28">_xlfn.SWITCH($C28,"Plan 1600",15*12/26,"Plan 1400",10*12/26,"Plan 1200",5*12/26,"Plan 1000",1.5*12/26,"")</f>
        <v>6.9230769230769234</v>
      </c>
      <c r="E28" s="12" cm="1">
        <f t="array" ref="E28">_xlfn.SWITCH($C28,"Plan 1600",97*12/26,"Plan 1400",78*12/26,"Plan 1200",60*12/26,"Plan 1000",25*12/26,"")</f>
        <v>44.769230769230766</v>
      </c>
      <c r="F28" s="12" cm="1">
        <f t="array" ref="F28">_xlfn.SWITCH($C28,"Plan 1600",25*12/26,"Plan 1400",20*12/26,"Plan 1200",15*12/26,"Plan 1000",2*12/26,"")</f>
        <v>11.538461538461538</v>
      </c>
      <c r="G28" s="3"/>
      <c r="H28">
        <f>VLOOKUP(A28,'12.22'!A:B,2,FALSE)</f>
        <v>-646.15</v>
      </c>
      <c r="I28" t="e" cm="1">
        <f t="array" ref="I28">_xlfn.IFS(
H28=-738.46,"Plan 1600",
B28=-646.15,"Plan 1400",
B28=-553.85,"Plan 1200",
B28=-461.54,"Plan 1000"
)</f>
        <v>#N/A</v>
      </c>
      <c r="J28" s="12" t="e" cm="1">
        <f t="array" ref="J28">_xlfn.SWITCH($I28,"Plan 1600",15*12/26,"Plan 1400",10*12/26,"Plan 1200",5*12/26,"Plan 1000",1.5*12/26,"")</f>
        <v>#N/A</v>
      </c>
      <c r="K28" s="12" t="e" cm="1">
        <f t="array" ref="K28">_xlfn.SWITCH($I28,"Plan 1600",97*12/26,"Plan 1400",78*12/26,"Plan 1200",60*12/26,"Plan 1000",25*12/26,"")</f>
        <v>#N/A</v>
      </c>
      <c r="L28" s="12" t="e" cm="1">
        <f t="array" ref="L28">_xlfn.SWITCH($I28,"Plan 1600",25*12/26,"Plan 1400",20*12/26,"Plan 1200",15*12/26,"Plan 1000",2*12/26,"")</f>
        <v>#N/A</v>
      </c>
    </row>
    <row r="29" spans="1:12" x14ac:dyDescent="0.25">
      <c r="A29" s="9" t="s">
        <v>71</v>
      </c>
      <c r="B29">
        <f>VLOOKUP(A29,'12.5'!A:B,2,FALSE)</f>
        <v>-738.46</v>
      </c>
      <c r="C29" t="str" cm="1">
        <f t="array" ref="C29">_xlfn.IFS(
B29=-738.46,"Plan 1600",
B29=-646.15,"Plan 1400",
B29=-553.85,"Plan 1200",
B29=-461.54,"Plan 1000"
)</f>
        <v>Plan 1600</v>
      </c>
      <c r="D29" s="12" cm="1">
        <f t="array" ref="D29">_xlfn.SWITCH($C29,"Plan 1600",15*12/26,"Plan 1400",10*12/26,"Plan 1200",5*12/26,"Plan 1000",1.5*12/26,"")</f>
        <v>6.9230769230769234</v>
      </c>
      <c r="E29" s="12" cm="1">
        <f t="array" ref="E29">_xlfn.SWITCH($C29,"Plan 1600",97*12/26,"Plan 1400",78*12/26,"Plan 1200",60*12/26,"Plan 1000",25*12/26,"")</f>
        <v>44.769230769230766</v>
      </c>
      <c r="F29" s="12" cm="1">
        <f t="array" ref="F29">_xlfn.SWITCH($C29,"Plan 1600",25*12/26,"Plan 1400",20*12/26,"Plan 1200",15*12/26,"Plan 1000",2*12/26,"")</f>
        <v>11.538461538461538</v>
      </c>
      <c r="G29" s="3"/>
      <c r="H29">
        <f>VLOOKUP(A29,'12.22'!A:B,2,FALSE)</f>
        <v>-646.15</v>
      </c>
      <c r="I29" t="e" cm="1">
        <f t="array" ref="I29">_xlfn.IFS(
H29=-738.46,"Plan 1600",
B29=-646.15,"Plan 1400",
B29=-553.85,"Plan 1200",
B29=-461.54,"Plan 1000"
)</f>
        <v>#N/A</v>
      </c>
      <c r="J29" s="12" t="e" cm="1">
        <f t="array" ref="J29">_xlfn.SWITCH($I29,"Plan 1600",15*12/26,"Plan 1400",10*12/26,"Plan 1200",5*12/26,"Plan 1000",1.5*12/26,"")</f>
        <v>#N/A</v>
      </c>
      <c r="K29" s="12" t="e" cm="1">
        <f t="array" ref="K29">_xlfn.SWITCH($I29,"Plan 1600",97*12/26,"Plan 1400",78*12/26,"Plan 1200",60*12/26,"Plan 1000",25*12/26,"")</f>
        <v>#N/A</v>
      </c>
      <c r="L29" s="12" t="e" cm="1">
        <f t="array" ref="L29">_xlfn.SWITCH($I29,"Plan 1600",25*12/26,"Plan 1400",20*12/26,"Plan 1200",15*12/26,"Plan 1000",2*12/26,"")</f>
        <v>#N/A</v>
      </c>
    </row>
    <row r="30" spans="1:12" x14ac:dyDescent="0.25">
      <c r="A30" s="9" t="s">
        <v>39</v>
      </c>
      <c r="B30">
        <f>VLOOKUP(A30,'12.5'!A:B,2,FALSE)</f>
        <v>-553.85</v>
      </c>
      <c r="C30" t="str" cm="1">
        <f t="array" ref="C30">_xlfn.IFS(
B30=-738.46,"Plan 1600",
B30=-646.15,"Plan 1400",
B30=-553.85,"Plan 1200",
B30=-461.54,"Plan 1000"
)</f>
        <v>Plan 1200</v>
      </c>
      <c r="D30" s="12" cm="1">
        <f t="array" ref="D30">_xlfn.SWITCH($C30,"Plan 1600",15*12/26,"Plan 1400",10*12/26,"Plan 1200",5*12/26,"Plan 1000",1.5*12/26,"")</f>
        <v>2.3076923076923075</v>
      </c>
      <c r="E30" s="12" cm="1">
        <f t="array" ref="E30">_xlfn.SWITCH($C30,"Plan 1600",97*12/26,"Plan 1400",78*12/26,"Plan 1200",60*12/26,"Plan 1000",25*12/26,"")</f>
        <v>27.692307692307693</v>
      </c>
      <c r="F30" s="12" cm="1">
        <f t="array" ref="F30">_xlfn.SWITCH($C30,"Plan 1600",25*12/26,"Plan 1400",20*12/26,"Plan 1200",15*12/26,"Plan 1000",2*12/26,"")</f>
        <v>6.9230769230769234</v>
      </c>
      <c r="G30" s="3"/>
      <c r="H30">
        <f>VLOOKUP(A30,'12.22'!A:B,2,FALSE)</f>
        <v>0</v>
      </c>
      <c r="I30" t="str" cm="1">
        <f t="array" ref="I30">_xlfn.IFS(
H30=-738.46,"Plan 1600",
B30=-646.15,"Plan 1400",
B30=-553.85,"Plan 1200",
B30=-461.54,"Plan 1000"
)</f>
        <v>Plan 1200</v>
      </c>
      <c r="J30" s="12" cm="1">
        <f t="array" ref="J30">_xlfn.SWITCH($I30,"Plan 1600",15*12/26,"Plan 1400",10*12/26,"Plan 1200",5*12/26,"Plan 1000",1.5*12/26,"")</f>
        <v>2.3076923076923075</v>
      </c>
      <c r="K30" s="12" cm="1">
        <f t="array" ref="K30">_xlfn.SWITCH($I30,"Plan 1600",97*12/26,"Plan 1400",78*12/26,"Plan 1200",60*12/26,"Plan 1000",25*12/26,"")</f>
        <v>27.692307692307693</v>
      </c>
      <c r="L30" s="12" cm="1">
        <f t="array" ref="L30">_xlfn.SWITCH($I30,"Plan 1600",25*12/26,"Plan 1400",20*12/26,"Plan 1200",15*12/26,"Plan 1000",2*12/26,"")</f>
        <v>6.9230769230769234</v>
      </c>
    </row>
    <row r="31" spans="1:12" x14ac:dyDescent="0.25">
      <c r="A31" s="9" t="s">
        <v>17</v>
      </c>
      <c r="B31">
        <f>VLOOKUP(A31,'12.5'!A:B,2,FALSE)</f>
        <v>-461.54</v>
      </c>
      <c r="C31" t="str" cm="1">
        <f t="array" ref="C31">_xlfn.IFS(
B31=-738.46,"Plan 1600",
B31=-646.15,"Plan 1400",
B31=-553.85,"Plan 1200",
B31=-461.54,"Plan 1000"
)</f>
        <v>Plan 1000</v>
      </c>
      <c r="D31" s="12" cm="1">
        <f t="array" ref="D31">_xlfn.SWITCH($C31,"Plan 1600",15*12/26,"Plan 1400",10*12/26,"Plan 1200",5*12/26,"Plan 1000",1.5*12/26,"")</f>
        <v>0.69230769230769229</v>
      </c>
      <c r="E31" s="12" cm="1">
        <f t="array" ref="E31">_xlfn.SWITCH($C31,"Plan 1600",97*12/26,"Plan 1400",78*12/26,"Plan 1200",60*12/26,"Plan 1000",25*12/26,"")</f>
        <v>11.538461538461538</v>
      </c>
      <c r="F31" s="12" cm="1">
        <f t="array" ref="F31">_xlfn.SWITCH($C31,"Plan 1600",25*12/26,"Plan 1400",20*12/26,"Plan 1200",15*12/26,"Plan 1000",2*12/26,"")</f>
        <v>0.92307692307692313</v>
      </c>
      <c r="G31" s="3"/>
      <c r="H31">
        <f>VLOOKUP(A31,'12.22'!A:B,2,FALSE)</f>
        <v>0</v>
      </c>
      <c r="I31" t="str" cm="1">
        <f t="array" ref="I31">_xlfn.IFS(
H31=-738.46,"Plan 1600",
B31=-646.15,"Plan 1400",
B31=-553.85,"Plan 1200",
B31=-461.54,"Plan 1000"
)</f>
        <v>Plan 1000</v>
      </c>
      <c r="J31" s="12" cm="1">
        <f t="array" ref="J31">_xlfn.SWITCH($I31,"Plan 1600",15*12/26,"Plan 1400",10*12/26,"Plan 1200",5*12/26,"Plan 1000",1.5*12/26,"")</f>
        <v>0.69230769230769229</v>
      </c>
      <c r="K31" s="12" cm="1">
        <f t="array" ref="K31">_xlfn.SWITCH($I31,"Plan 1600",97*12/26,"Plan 1400",78*12/26,"Plan 1200",60*12/26,"Plan 1000",25*12/26,"")</f>
        <v>11.538461538461538</v>
      </c>
      <c r="L31" s="12" cm="1">
        <f t="array" ref="L31">_xlfn.SWITCH($I31,"Plan 1600",25*12/26,"Plan 1400",20*12/26,"Plan 1200",15*12/26,"Plan 1000",2*12/26,"")</f>
        <v>0.92307692307692313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24C8-5BC6-44AE-BD21-F888DF63BB2C}">
  <dimension ref="A1:B73"/>
  <sheetViews>
    <sheetView topLeftCell="A41" workbookViewId="0">
      <selection activeCell="A2" sqref="A2:A72"/>
    </sheetView>
  </sheetViews>
  <sheetFormatPr defaultRowHeight="15" x14ac:dyDescent="0.25"/>
  <cols>
    <col min="1" max="2" width="17.140625" customWidth="1"/>
  </cols>
  <sheetData>
    <row r="1" spans="1:2" x14ac:dyDescent="0.25">
      <c r="A1" s="8" t="s">
        <v>5</v>
      </c>
      <c r="B1" s="8" t="s">
        <v>77</v>
      </c>
    </row>
    <row r="2" spans="1:2" x14ac:dyDescent="0.25">
      <c r="A2" s="9" t="s">
        <v>6</v>
      </c>
      <c r="B2" s="10">
        <v>-461.54</v>
      </c>
    </row>
    <row r="3" spans="1:2" x14ac:dyDescent="0.25">
      <c r="A3" s="9" t="s">
        <v>7</v>
      </c>
      <c r="B3" s="10">
        <v>-461.54</v>
      </c>
    </row>
    <row r="4" spans="1:2" x14ac:dyDescent="0.25">
      <c r="A4" s="9" t="s">
        <v>8</v>
      </c>
      <c r="B4" s="10">
        <v>-461.54</v>
      </c>
    </row>
    <row r="5" spans="1:2" x14ac:dyDescent="0.25">
      <c r="A5" s="9" t="s">
        <v>9</v>
      </c>
      <c r="B5" s="10">
        <v>-738.46</v>
      </c>
    </row>
    <row r="6" spans="1:2" x14ac:dyDescent="0.25">
      <c r="A6" s="9" t="s">
        <v>10</v>
      </c>
      <c r="B6" s="10">
        <v>-738.46</v>
      </c>
    </row>
    <row r="7" spans="1:2" x14ac:dyDescent="0.25">
      <c r="A7" s="9" t="s">
        <v>11</v>
      </c>
      <c r="B7" s="10">
        <v>-738.46</v>
      </c>
    </row>
    <row r="8" spans="1:2" x14ac:dyDescent="0.25">
      <c r="A8" s="9" t="s">
        <v>12</v>
      </c>
      <c r="B8" s="10">
        <v>-738.46</v>
      </c>
    </row>
    <row r="9" spans="1:2" x14ac:dyDescent="0.25">
      <c r="A9" s="9" t="s">
        <v>13</v>
      </c>
      <c r="B9" s="10">
        <v>-461.54</v>
      </c>
    </row>
    <row r="10" spans="1:2" x14ac:dyDescent="0.25">
      <c r="A10" s="9" t="s">
        <v>14</v>
      </c>
      <c r="B10" s="10">
        <v>-461.54</v>
      </c>
    </row>
    <row r="11" spans="1:2" x14ac:dyDescent="0.25">
      <c r="A11" s="9" t="s">
        <v>15</v>
      </c>
    </row>
    <row r="12" spans="1:2" x14ac:dyDescent="0.25">
      <c r="A12" s="9" t="s">
        <v>16</v>
      </c>
    </row>
    <row r="13" spans="1:2" x14ac:dyDescent="0.25">
      <c r="A13" s="9" t="s">
        <v>17</v>
      </c>
      <c r="B13" s="10">
        <v>-461.54</v>
      </c>
    </row>
    <row r="14" spans="1:2" x14ac:dyDescent="0.25">
      <c r="A14" s="9" t="s">
        <v>18</v>
      </c>
      <c r="B14" s="10">
        <v>-461.54</v>
      </c>
    </row>
    <row r="15" spans="1:2" x14ac:dyDescent="0.25">
      <c r="A15" s="9" t="s">
        <v>19</v>
      </c>
      <c r="B15" s="10">
        <v>-461.54</v>
      </c>
    </row>
    <row r="16" spans="1:2" x14ac:dyDescent="0.25">
      <c r="A16" s="9" t="s">
        <v>20</v>
      </c>
      <c r="B16" s="10">
        <v>-646.15</v>
      </c>
    </row>
    <row r="17" spans="1:2" x14ac:dyDescent="0.25">
      <c r="A17" s="9" t="s">
        <v>21</v>
      </c>
      <c r="B17" s="10">
        <v>-461.54</v>
      </c>
    </row>
    <row r="18" spans="1:2" x14ac:dyDescent="0.25">
      <c r="A18" s="9" t="s">
        <v>22</v>
      </c>
      <c r="B18" s="10">
        <v>-461.54</v>
      </c>
    </row>
    <row r="19" spans="1:2" x14ac:dyDescent="0.25">
      <c r="A19" s="9" t="s">
        <v>23</v>
      </c>
      <c r="B19" s="10">
        <v>-646.15</v>
      </c>
    </row>
    <row r="20" spans="1:2" x14ac:dyDescent="0.25">
      <c r="A20" s="9" t="s">
        <v>24</v>
      </c>
    </row>
    <row r="21" spans="1:2" x14ac:dyDescent="0.25">
      <c r="A21" s="9" t="s">
        <v>25</v>
      </c>
    </row>
    <row r="22" spans="1:2" x14ac:dyDescent="0.25">
      <c r="A22" s="9" t="s">
        <v>26</v>
      </c>
    </row>
    <row r="23" spans="1:2" x14ac:dyDescent="0.25">
      <c r="A23" s="9" t="s">
        <v>27</v>
      </c>
    </row>
    <row r="24" spans="1:2" x14ac:dyDescent="0.25">
      <c r="A24" s="9" t="s">
        <v>28</v>
      </c>
      <c r="B24" s="10">
        <v>-461.54</v>
      </c>
    </row>
    <row r="25" spans="1:2" x14ac:dyDescent="0.25">
      <c r="A25" s="9" t="s">
        <v>29</v>
      </c>
    </row>
    <row r="26" spans="1:2" x14ac:dyDescent="0.25">
      <c r="A26" s="9" t="s">
        <v>30</v>
      </c>
      <c r="B26" s="10">
        <v>-553.85</v>
      </c>
    </row>
    <row r="27" spans="1:2" x14ac:dyDescent="0.25">
      <c r="A27" s="9" t="s">
        <v>31</v>
      </c>
      <c r="B27" s="10">
        <v>-461.54</v>
      </c>
    </row>
    <row r="28" spans="1:2" x14ac:dyDescent="0.25">
      <c r="A28" s="9" t="s">
        <v>32</v>
      </c>
      <c r="B28" s="10">
        <v>-461.54</v>
      </c>
    </row>
    <row r="29" spans="1:2" x14ac:dyDescent="0.25">
      <c r="A29" s="9" t="s">
        <v>33</v>
      </c>
      <c r="B29" s="10">
        <v>-646.15</v>
      </c>
    </row>
    <row r="30" spans="1:2" x14ac:dyDescent="0.25">
      <c r="A30" s="9" t="s">
        <v>34</v>
      </c>
      <c r="B30" s="10">
        <v>-646.15</v>
      </c>
    </row>
    <row r="31" spans="1:2" x14ac:dyDescent="0.25">
      <c r="A31" s="9" t="s">
        <v>35</v>
      </c>
      <c r="B31" s="10">
        <v>-461.54</v>
      </c>
    </row>
    <row r="32" spans="1:2" x14ac:dyDescent="0.25">
      <c r="A32" s="9" t="s">
        <v>36</v>
      </c>
    </row>
    <row r="33" spans="1:2" x14ac:dyDescent="0.25">
      <c r="A33" s="9" t="s">
        <v>37</v>
      </c>
      <c r="B33" s="10">
        <v>-646.15</v>
      </c>
    </row>
    <row r="34" spans="1:2" x14ac:dyDescent="0.25">
      <c r="A34" s="9" t="s">
        <v>38</v>
      </c>
      <c r="B34" s="10">
        <v>-461.54</v>
      </c>
    </row>
    <row r="35" spans="1:2" x14ac:dyDescent="0.25">
      <c r="A35" s="9" t="s">
        <v>39</v>
      </c>
      <c r="B35" s="10">
        <v>-553.85</v>
      </c>
    </row>
    <row r="36" spans="1:2" x14ac:dyDescent="0.25">
      <c r="A36" s="9" t="s">
        <v>40</v>
      </c>
    </row>
    <row r="37" spans="1:2" x14ac:dyDescent="0.25">
      <c r="A37" s="9" t="s">
        <v>41</v>
      </c>
      <c r="B37" s="10">
        <v>-646.15</v>
      </c>
    </row>
    <row r="38" spans="1:2" x14ac:dyDescent="0.25">
      <c r="A38" s="9" t="s">
        <v>42</v>
      </c>
    </row>
    <row r="39" spans="1:2" x14ac:dyDescent="0.25">
      <c r="A39" s="9" t="s">
        <v>43</v>
      </c>
    </row>
    <row r="40" spans="1:2" x14ac:dyDescent="0.25">
      <c r="A40" s="9" t="s">
        <v>44</v>
      </c>
      <c r="B40" s="10">
        <v>-461.54</v>
      </c>
    </row>
    <row r="41" spans="1:2" x14ac:dyDescent="0.25">
      <c r="A41" s="9" t="s">
        <v>45</v>
      </c>
      <c r="B41" s="10">
        <v>-461.54</v>
      </c>
    </row>
    <row r="42" spans="1:2" x14ac:dyDescent="0.25">
      <c r="A42" s="9" t="s">
        <v>46</v>
      </c>
      <c r="B42" s="10">
        <v>-461.54</v>
      </c>
    </row>
    <row r="43" spans="1:2" x14ac:dyDescent="0.25">
      <c r="A43" s="9" t="s">
        <v>47</v>
      </c>
      <c r="B43" s="10">
        <v>-461.54</v>
      </c>
    </row>
    <row r="44" spans="1:2" x14ac:dyDescent="0.25">
      <c r="A44" s="9" t="s">
        <v>48</v>
      </c>
      <c r="B44" s="10">
        <v>-461.54</v>
      </c>
    </row>
    <row r="45" spans="1:2" x14ac:dyDescent="0.25">
      <c r="A45" s="9" t="s">
        <v>49</v>
      </c>
    </row>
    <row r="46" spans="1:2" x14ac:dyDescent="0.25">
      <c r="A46" s="9" t="s">
        <v>50</v>
      </c>
      <c r="B46" s="10">
        <v>-553.85</v>
      </c>
    </row>
    <row r="47" spans="1:2" x14ac:dyDescent="0.25">
      <c r="A47" s="9" t="s">
        <v>51</v>
      </c>
      <c r="B47" s="10">
        <v>-553.85</v>
      </c>
    </row>
    <row r="48" spans="1:2" x14ac:dyDescent="0.25">
      <c r="A48" s="9" t="s">
        <v>52</v>
      </c>
      <c r="B48" s="10">
        <v>-461.54</v>
      </c>
    </row>
    <row r="49" spans="1:2" x14ac:dyDescent="0.25">
      <c r="A49" s="9" t="s">
        <v>53</v>
      </c>
      <c r="B49" s="10">
        <v>-553.85</v>
      </c>
    </row>
    <row r="50" spans="1:2" x14ac:dyDescent="0.25">
      <c r="A50" s="9" t="s">
        <v>54</v>
      </c>
      <c r="B50" s="10">
        <v>-461.54</v>
      </c>
    </row>
    <row r="51" spans="1:2" x14ac:dyDescent="0.25">
      <c r="A51" s="9" t="s">
        <v>55</v>
      </c>
      <c r="B51" s="10">
        <v>-461.54</v>
      </c>
    </row>
    <row r="52" spans="1:2" x14ac:dyDescent="0.25">
      <c r="A52" s="9" t="s">
        <v>56</v>
      </c>
      <c r="B52" s="10">
        <v>-461.54</v>
      </c>
    </row>
    <row r="53" spans="1:2" x14ac:dyDescent="0.25">
      <c r="A53" s="9" t="s">
        <v>57</v>
      </c>
      <c r="B53" s="10">
        <v>-461.54</v>
      </c>
    </row>
    <row r="54" spans="1:2" x14ac:dyDescent="0.25">
      <c r="A54" s="9" t="s">
        <v>58</v>
      </c>
    </row>
    <row r="55" spans="1:2" x14ac:dyDescent="0.25">
      <c r="A55" s="9" t="s">
        <v>59</v>
      </c>
    </row>
    <row r="56" spans="1:2" x14ac:dyDescent="0.25">
      <c r="A56" s="9" t="s">
        <v>60</v>
      </c>
      <c r="B56" s="10">
        <v>-461.54</v>
      </c>
    </row>
    <row r="57" spans="1:2" x14ac:dyDescent="0.25">
      <c r="A57" s="9" t="s">
        <v>61</v>
      </c>
    </row>
    <row r="58" spans="1:2" x14ac:dyDescent="0.25">
      <c r="A58" s="9" t="s">
        <v>62</v>
      </c>
      <c r="B58" s="10">
        <v>-461.54</v>
      </c>
    </row>
    <row r="59" spans="1:2" x14ac:dyDescent="0.25">
      <c r="A59" s="9" t="s">
        <v>63</v>
      </c>
      <c r="B59" s="10">
        <v>-461.54</v>
      </c>
    </row>
    <row r="60" spans="1:2" x14ac:dyDescent="0.25">
      <c r="A60" s="9" t="s">
        <v>64</v>
      </c>
      <c r="B60" s="10">
        <v>-738.46</v>
      </c>
    </row>
    <row r="61" spans="1:2" x14ac:dyDescent="0.25">
      <c r="A61" s="9" t="s">
        <v>65</v>
      </c>
      <c r="B61" s="10">
        <v>-461.54</v>
      </c>
    </row>
    <row r="62" spans="1:2" x14ac:dyDescent="0.25">
      <c r="A62" s="9" t="s">
        <v>66</v>
      </c>
    </row>
    <row r="63" spans="1:2" x14ac:dyDescent="0.25">
      <c r="A63" s="9" t="s">
        <v>67</v>
      </c>
    </row>
    <row r="64" spans="1:2" x14ac:dyDescent="0.25">
      <c r="A64" s="9" t="s">
        <v>68</v>
      </c>
      <c r="B64" s="10">
        <v>-646.15</v>
      </c>
    </row>
    <row r="65" spans="1:2" x14ac:dyDescent="0.25">
      <c r="A65" s="9" t="s">
        <v>69</v>
      </c>
      <c r="B65" s="10">
        <v>-461.54</v>
      </c>
    </row>
    <row r="66" spans="1:2" x14ac:dyDescent="0.25">
      <c r="A66" s="9" t="s">
        <v>70</v>
      </c>
      <c r="B66" s="10">
        <v>-646.15</v>
      </c>
    </row>
    <row r="67" spans="1:2" x14ac:dyDescent="0.25">
      <c r="A67" s="9" t="s">
        <v>71</v>
      </c>
      <c r="B67" s="10">
        <v>-738.46</v>
      </c>
    </row>
    <row r="68" spans="1:2" x14ac:dyDescent="0.25">
      <c r="A68" s="9" t="s">
        <v>72</v>
      </c>
      <c r="B68" s="10">
        <v>-553.85</v>
      </c>
    </row>
    <row r="69" spans="1:2" x14ac:dyDescent="0.25">
      <c r="A69" s="9" t="s">
        <v>73</v>
      </c>
      <c r="B69" s="10">
        <v>-738.46</v>
      </c>
    </row>
    <row r="70" spans="1:2" x14ac:dyDescent="0.25">
      <c r="A70" s="9" t="s">
        <v>74</v>
      </c>
    </row>
    <row r="71" spans="1:2" x14ac:dyDescent="0.25">
      <c r="A71" s="9" t="s">
        <v>75</v>
      </c>
    </row>
    <row r="72" spans="1:2" x14ac:dyDescent="0.25">
      <c r="A72" s="9" t="s">
        <v>76</v>
      </c>
    </row>
    <row r="73" spans="1:2" x14ac:dyDescent="0.25">
      <c r="B73" s="11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BC68-B5E4-4024-8483-17A8B91F8C4B}">
  <dimension ref="A1:B72"/>
  <sheetViews>
    <sheetView workbookViewId="0">
      <selection activeCell="E27" sqref="E27"/>
    </sheetView>
  </sheetViews>
  <sheetFormatPr defaultRowHeight="15" x14ac:dyDescent="0.25"/>
  <cols>
    <col min="1" max="2" width="17.140625" customWidth="1"/>
  </cols>
  <sheetData>
    <row r="1" spans="1:2" x14ac:dyDescent="0.25">
      <c r="A1" s="8" t="s">
        <v>5</v>
      </c>
      <c r="B1" s="8" t="s">
        <v>77</v>
      </c>
    </row>
    <row r="2" spans="1:2" x14ac:dyDescent="0.25">
      <c r="A2" s="9" t="s">
        <v>6</v>
      </c>
      <c r="B2" s="10">
        <v>-461.54</v>
      </c>
    </row>
    <row r="3" spans="1:2" x14ac:dyDescent="0.25">
      <c r="A3" s="9" t="s">
        <v>7</v>
      </c>
      <c r="B3" s="10">
        <v>-461.54</v>
      </c>
    </row>
    <row r="4" spans="1:2" x14ac:dyDescent="0.25">
      <c r="A4" s="9" t="s">
        <v>8</v>
      </c>
      <c r="B4" s="10">
        <v>-461.54</v>
      </c>
    </row>
    <row r="5" spans="1:2" x14ac:dyDescent="0.25">
      <c r="A5" s="9" t="s">
        <v>9</v>
      </c>
      <c r="B5" s="10">
        <v>-738.46</v>
      </c>
    </row>
    <row r="6" spans="1:2" x14ac:dyDescent="0.25">
      <c r="A6" s="9" t="s">
        <v>10</v>
      </c>
      <c r="B6" s="10">
        <v>-738.46</v>
      </c>
    </row>
    <row r="7" spans="1:2" x14ac:dyDescent="0.25">
      <c r="A7" s="9" t="s">
        <v>11</v>
      </c>
      <c r="B7" s="10">
        <v>-738.46</v>
      </c>
    </row>
    <row r="8" spans="1:2" x14ac:dyDescent="0.25">
      <c r="A8" s="9" t="s">
        <v>12</v>
      </c>
      <c r="B8" s="10">
        <v>-738.46</v>
      </c>
    </row>
    <row r="9" spans="1:2" x14ac:dyDescent="0.25">
      <c r="A9" s="9" t="s">
        <v>13</v>
      </c>
      <c r="B9" s="10">
        <v>-461.54</v>
      </c>
    </row>
    <row r="10" spans="1:2" x14ac:dyDescent="0.25">
      <c r="A10" s="9" t="s">
        <v>14</v>
      </c>
      <c r="B10" s="10">
        <v>-461.54</v>
      </c>
    </row>
    <row r="11" spans="1:2" x14ac:dyDescent="0.25">
      <c r="A11" s="9" t="s">
        <v>15</v>
      </c>
    </row>
    <row r="12" spans="1:2" x14ac:dyDescent="0.25">
      <c r="A12" s="9" t="s">
        <v>16</v>
      </c>
    </row>
    <row r="13" spans="1:2" x14ac:dyDescent="0.25">
      <c r="A13" s="9" t="s">
        <v>17</v>
      </c>
    </row>
    <row r="14" spans="1:2" x14ac:dyDescent="0.25">
      <c r="A14" s="9" t="s">
        <v>18</v>
      </c>
      <c r="B14" s="10">
        <v>-461.54</v>
      </c>
    </row>
    <row r="15" spans="1:2" x14ac:dyDescent="0.25">
      <c r="A15" s="9" t="s">
        <v>79</v>
      </c>
    </row>
    <row r="16" spans="1:2" x14ac:dyDescent="0.25">
      <c r="A16" s="9" t="s">
        <v>19</v>
      </c>
      <c r="B16" s="10">
        <v>-461.54</v>
      </c>
    </row>
    <row r="17" spans="1:2" x14ac:dyDescent="0.25">
      <c r="A17" s="9" t="s">
        <v>20</v>
      </c>
      <c r="B17" s="10">
        <v>-646.15</v>
      </c>
    </row>
    <row r="18" spans="1:2" x14ac:dyDescent="0.25">
      <c r="A18" s="9" t="s">
        <v>21</v>
      </c>
      <c r="B18" s="10">
        <v>-461.54</v>
      </c>
    </row>
    <row r="19" spans="1:2" x14ac:dyDescent="0.25">
      <c r="A19" s="9" t="s">
        <v>22</v>
      </c>
      <c r="B19" s="10">
        <v>-461.54</v>
      </c>
    </row>
    <row r="20" spans="1:2" x14ac:dyDescent="0.25">
      <c r="A20" s="9" t="s">
        <v>23</v>
      </c>
      <c r="B20" s="10">
        <v>-646.15</v>
      </c>
    </row>
    <row r="21" spans="1:2" x14ac:dyDescent="0.25">
      <c r="A21" s="9" t="s">
        <v>24</v>
      </c>
      <c r="B21" s="10">
        <v>-461.54</v>
      </c>
    </row>
    <row r="22" spans="1:2" x14ac:dyDescent="0.25">
      <c r="A22" s="9" t="s">
        <v>25</v>
      </c>
    </row>
    <row r="23" spans="1:2" x14ac:dyDescent="0.25">
      <c r="A23" s="9" t="s">
        <v>26</v>
      </c>
    </row>
    <row r="24" spans="1:2" x14ac:dyDescent="0.25">
      <c r="A24" s="9" t="s">
        <v>27</v>
      </c>
    </row>
    <row r="25" spans="1:2" x14ac:dyDescent="0.25">
      <c r="A25" s="9" t="s">
        <v>28</v>
      </c>
      <c r="B25" s="10">
        <v>-461.54</v>
      </c>
    </row>
    <row r="26" spans="1:2" x14ac:dyDescent="0.25">
      <c r="A26" s="9" t="s">
        <v>29</v>
      </c>
    </row>
    <row r="27" spans="1:2" x14ac:dyDescent="0.25">
      <c r="A27" s="9" t="s">
        <v>30</v>
      </c>
      <c r="B27" s="10">
        <v>-461.54</v>
      </c>
    </row>
    <row r="28" spans="1:2" x14ac:dyDescent="0.25">
      <c r="A28" s="9" t="s">
        <v>31</v>
      </c>
      <c r="B28" s="10">
        <v>-461.54</v>
      </c>
    </row>
    <row r="29" spans="1:2" x14ac:dyDescent="0.25">
      <c r="A29" s="9" t="s">
        <v>32</v>
      </c>
      <c r="B29" s="10">
        <v>-461.54</v>
      </c>
    </row>
    <row r="30" spans="1:2" x14ac:dyDescent="0.25">
      <c r="A30" s="9" t="s">
        <v>33</v>
      </c>
      <c r="B30" s="10">
        <v>-646.15</v>
      </c>
    </row>
    <row r="31" spans="1:2" x14ac:dyDescent="0.25">
      <c r="A31" s="9" t="s">
        <v>34</v>
      </c>
      <c r="B31" s="10">
        <v>-738.46</v>
      </c>
    </row>
    <row r="32" spans="1:2" x14ac:dyDescent="0.25">
      <c r="A32" s="9" t="s">
        <v>36</v>
      </c>
    </row>
    <row r="33" spans="1:2" x14ac:dyDescent="0.25">
      <c r="A33" s="9" t="s">
        <v>37</v>
      </c>
      <c r="B33" s="10">
        <v>-646.15</v>
      </c>
    </row>
    <row r="34" spans="1:2" x14ac:dyDescent="0.25">
      <c r="A34" s="9" t="s">
        <v>38</v>
      </c>
      <c r="B34" s="10">
        <v>-461.54</v>
      </c>
    </row>
    <row r="35" spans="1:2" x14ac:dyDescent="0.25">
      <c r="A35" s="9" t="s">
        <v>39</v>
      </c>
    </row>
    <row r="36" spans="1:2" x14ac:dyDescent="0.25">
      <c r="A36" s="9" t="s">
        <v>40</v>
      </c>
    </row>
    <row r="37" spans="1:2" x14ac:dyDescent="0.25">
      <c r="A37" s="9" t="s">
        <v>41</v>
      </c>
      <c r="B37" s="10">
        <v>-646.15</v>
      </c>
    </row>
    <row r="38" spans="1:2" x14ac:dyDescent="0.25">
      <c r="A38" s="9" t="s">
        <v>42</v>
      </c>
    </row>
    <row r="39" spans="1:2" x14ac:dyDescent="0.25">
      <c r="A39" s="9" t="s">
        <v>43</v>
      </c>
    </row>
    <row r="40" spans="1:2" x14ac:dyDescent="0.25">
      <c r="A40" s="9" t="s">
        <v>44</v>
      </c>
      <c r="B40" s="10">
        <v>-461.54</v>
      </c>
    </row>
    <row r="41" spans="1:2" x14ac:dyDescent="0.25">
      <c r="A41" s="9" t="s">
        <v>45</v>
      </c>
      <c r="B41" s="10">
        <v>-461.54</v>
      </c>
    </row>
    <row r="42" spans="1:2" x14ac:dyDescent="0.25">
      <c r="A42" s="9" t="s">
        <v>46</v>
      </c>
      <c r="B42" s="10">
        <v>-461.54</v>
      </c>
    </row>
    <row r="43" spans="1:2" x14ac:dyDescent="0.25">
      <c r="A43" s="9" t="s">
        <v>47</v>
      </c>
      <c r="B43" s="10">
        <v>-461.54</v>
      </c>
    </row>
    <row r="44" spans="1:2" x14ac:dyDescent="0.25">
      <c r="A44" s="9" t="s">
        <v>48</v>
      </c>
      <c r="B44" s="10">
        <v>-461.54</v>
      </c>
    </row>
    <row r="45" spans="1:2" x14ac:dyDescent="0.25">
      <c r="A45" s="9" t="s">
        <v>50</v>
      </c>
      <c r="B45" s="10">
        <v>-553.85</v>
      </c>
    </row>
    <row r="46" spans="1:2" x14ac:dyDescent="0.25">
      <c r="A46" s="9" t="s">
        <v>51</v>
      </c>
      <c r="B46" s="10">
        <v>-553.85</v>
      </c>
    </row>
    <row r="47" spans="1:2" x14ac:dyDescent="0.25">
      <c r="A47" s="9" t="s">
        <v>52</v>
      </c>
      <c r="B47" s="10">
        <v>-461.54</v>
      </c>
    </row>
    <row r="48" spans="1:2" x14ac:dyDescent="0.25">
      <c r="A48" s="9" t="s">
        <v>53</v>
      </c>
      <c r="B48" s="10">
        <v>-553.85</v>
      </c>
    </row>
    <row r="49" spans="1:2" x14ac:dyDescent="0.25">
      <c r="A49" s="9" t="s">
        <v>54</v>
      </c>
      <c r="B49" s="10">
        <v>-461.54</v>
      </c>
    </row>
    <row r="50" spans="1:2" x14ac:dyDescent="0.25">
      <c r="A50" s="9" t="s">
        <v>55</v>
      </c>
      <c r="B50" s="10">
        <v>-461.54</v>
      </c>
    </row>
    <row r="51" spans="1:2" x14ac:dyDescent="0.25">
      <c r="A51" s="9" t="s">
        <v>56</v>
      </c>
      <c r="B51" s="10">
        <v>-461.54</v>
      </c>
    </row>
    <row r="52" spans="1:2" x14ac:dyDescent="0.25">
      <c r="A52" s="9" t="s">
        <v>57</v>
      </c>
      <c r="B52" s="10">
        <v>-461.54</v>
      </c>
    </row>
    <row r="53" spans="1:2" x14ac:dyDescent="0.25">
      <c r="A53" s="9" t="s">
        <v>58</v>
      </c>
    </row>
    <row r="54" spans="1:2" x14ac:dyDescent="0.25">
      <c r="A54" s="9" t="s">
        <v>60</v>
      </c>
      <c r="B54" s="10">
        <v>-461.54</v>
      </c>
    </row>
    <row r="55" spans="1:2" x14ac:dyDescent="0.25">
      <c r="A55" s="9" t="s">
        <v>61</v>
      </c>
    </row>
    <row r="56" spans="1:2" x14ac:dyDescent="0.25">
      <c r="A56" s="9" t="s">
        <v>62</v>
      </c>
      <c r="B56" s="10">
        <v>-461.54</v>
      </c>
    </row>
    <row r="57" spans="1:2" x14ac:dyDescent="0.25">
      <c r="A57" s="9" t="s">
        <v>63</v>
      </c>
      <c r="B57" s="10">
        <v>-461.54</v>
      </c>
    </row>
    <row r="58" spans="1:2" x14ac:dyDescent="0.25">
      <c r="A58" s="9" t="s">
        <v>64</v>
      </c>
      <c r="B58" s="10">
        <v>-646.15</v>
      </c>
    </row>
    <row r="59" spans="1:2" x14ac:dyDescent="0.25">
      <c r="A59" s="9" t="s">
        <v>65</v>
      </c>
      <c r="B59" s="10">
        <v>-461.54</v>
      </c>
    </row>
    <row r="60" spans="1:2" x14ac:dyDescent="0.25">
      <c r="A60" s="9" t="s">
        <v>68</v>
      </c>
      <c r="B60" s="10">
        <v>-646.15</v>
      </c>
    </row>
    <row r="61" spans="1:2" x14ac:dyDescent="0.25">
      <c r="A61" s="9" t="s">
        <v>69</v>
      </c>
      <c r="B61" s="10">
        <v>-461.54</v>
      </c>
    </row>
    <row r="62" spans="1:2" x14ac:dyDescent="0.25">
      <c r="A62" s="9" t="s">
        <v>70</v>
      </c>
      <c r="B62" s="10">
        <v>-461.54</v>
      </c>
    </row>
    <row r="63" spans="1:2" x14ac:dyDescent="0.25">
      <c r="A63" s="9" t="s">
        <v>71</v>
      </c>
      <c r="B63" s="10">
        <v>-646.15</v>
      </c>
    </row>
    <row r="64" spans="1:2" x14ac:dyDescent="0.25">
      <c r="A64" s="9" t="s">
        <v>72</v>
      </c>
      <c r="B64" s="10">
        <v>-646.15</v>
      </c>
    </row>
    <row r="65" spans="1:2" x14ac:dyDescent="0.25">
      <c r="A65" s="9" t="s">
        <v>73</v>
      </c>
      <c r="B65" s="10">
        <v>-738.46</v>
      </c>
    </row>
    <row r="66" spans="1:2" x14ac:dyDescent="0.25">
      <c r="A66" s="9" t="s">
        <v>75</v>
      </c>
    </row>
    <row r="67" spans="1:2" x14ac:dyDescent="0.25">
      <c r="A67" s="9" t="s">
        <v>76</v>
      </c>
    </row>
    <row r="68" spans="1:2" x14ac:dyDescent="0.25">
      <c r="A68" s="9" t="s">
        <v>80</v>
      </c>
    </row>
    <row r="69" spans="1:2" x14ac:dyDescent="0.25">
      <c r="A69" s="9" t="s">
        <v>81</v>
      </c>
    </row>
    <row r="70" spans="1:2" x14ac:dyDescent="0.25">
      <c r="A70" s="9" t="s">
        <v>82</v>
      </c>
    </row>
    <row r="71" spans="1:2" x14ac:dyDescent="0.25">
      <c r="A71" s="9" t="s">
        <v>83</v>
      </c>
    </row>
    <row r="72" spans="1:2" x14ac:dyDescent="0.25">
      <c r="B72" s="1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Commissions</vt:lpstr>
      <vt:lpstr>Unpaid</vt:lpstr>
      <vt:lpstr>12.5</vt:lpstr>
      <vt:lpstr>12.22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Gelardi</dc:creator>
  <cp:lastModifiedBy>Vincent Gelardi</cp:lastModifiedBy>
  <dcterms:created xsi:type="dcterms:W3CDTF">2025-12-29T19:50:09Z</dcterms:created>
  <dcterms:modified xsi:type="dcterms:W3CDTF">2026-01-16T13:44:52Z</dcterms:modified>
</cp:coreProperties>
</file>