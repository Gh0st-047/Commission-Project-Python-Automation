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122CE67E-0E80-4ED5-B3CD-A28343E37DCE}" xr6:coauthVersionLast="47" xr6:coauthVersionMax="47" xr10:uidLastSave="{00000000-0000-0000-0000-000000000000}"/>
  <bookViews>
    <workbookView xWindow="-120" yWindow="-120" windowWidth="29040" windowHeight="15840" xr2:uid="{4FA856FB-A981-4240-BF0B-DC24CFC7FB80}"/>
  </bookViews>
  <sheets>
    <sheet name="Commissions" sheetId="1" r:id="rId1"/>
    <sheet name="Unpaid" sheetId="2" r:id="rId2"/>
    <sheet name="12.2" sheetId="4" r:id="rId3"/>
    <sheet name="12.16" sheetId="5" r:id="rId4"/>
    <sheet name="12.30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 a="1"/>
  <c r="X7" i="1" s="1"/>
  <c r="X6" i="1" a="1"/>
  <c r="X6" i="1" s="1"/>
  <c r="Y7" i="1" l="1"/>
  <c r="Y6" i="1"/>
  <c r="P3" i="1" a="1"/>
  <c r="P3" i="1" s="1"/>
  <c r="Q3" i="1" a="1"/>
  <c r="Q3" i="1"/>
  <c r="R3" i="1" a="1"/>
  <c r="R3" i="1" s="1"/>
  <c r="P4" i="1" a="1"/>
  <c r="P4" i="1"/>
  <c r="Q4" i="1" a="1"/>
  <c r="Q4" i="1" s="1"/>
  <c r="R4" i="1" a="1"/>
  <c r="R4" i="1"/>
  <c r="P5" i="1" a="1"/>
  <c r="P5" i="1" s="1"/>
  <c r="Q5" i="1" a="1"/>
  <c r="Q5" i="1"/>
  <c r="R5" i="1" a="1"/>
  <c r="R5" i="1" s="1"/>
  <c r="P6" i="1" a="1"/>
  <c r="P6" i="1"/>
  <c r="Q6" i="1" a="1"/>
  <c r="Q6" i="1" s="1"/>
  <c r="R6" i="1" a="1"/>
  <c r="R6" i="1"/>
  <c r="P7" i="1" a="1"/>
  <c r="P7" i="1" s="1"/>
  <c r="Q7" i="1" a="1"/>
  <c r="Q7" i="1"/>
  <c r="R7" i="1" a="1"/>
  <c r="R7" i="1" s="1"/>
  <c r="P8" i="1" a="1"/>
  <c r="P8" i="1"/>
  <c r="Q8" i="1" a="1"/>
  <c r="Q8" i="1" s="1"/>
  <c r="R8" i="1" a="1"/>
  <c r="R8" i="1"/>
  <c r="P9" i="1" a="1"/>
  <c r="P9" i="1" s="1"/>
  <c r="Q9" i="1" a="1"/>
  <c r="Q9" i="1"/>
  <c r="R9" i="1" a="1"/>
  <c r="R9" i="1" s="1"/>
  <c r="P10" i="1" a="1"/>
  <c r="P10" i="1"/>
  <c r="Q10" i="1" a="1"/>
  <c r="Q10" i="1" s="1"/>
  <c r="R10" i="1" a="1"/>
  <c r="R10" i="1"/>
  <c r="P11" i="1" a="1"/>
  <c r="P11" i="1" s="1"/>
  <c r="Q11" i="1" a="1"/>
  <c r="Q11" i="1"/>
  <c r="R11" i="1" a="1"/>
  <c r="R11" i="1" s="1"/>
  <c r="P12" i="1" a="1"/>
  <c r="P12" i="1"/>
  <c r="Q12" i="1" a="1"/>
  <c r="Q12" i="1" s="1"/>
  <c r="R12" i="1" a="1"/>
  <c r="R12" i="1"/>
  <c r="P13" i="1" a="1"/>
  <c r="P13" i="1" s="1"/>
  <c r="Q13" i="1" a="1"/>
  <c r="Q13" i="1"/>
  <c r="R13" i="1" a="1"/>
  <c r="R13" i="1" s="1"/>
  <c r="P14" i="1" a="1"/>
  <c r="P14" i="1"/>
  <c r="Q14" i="1" a="1"/>
  <c r="Q14" i="1" s="1"/>
  <c r="R14" i="1" a="1"/>
  <c r="R14" i="1"/>
  <c r="P15" i="1" a="1"/>
  <c r="P15" i="1" s="1"/>
  <c r="Q15" i="1" a="1"/>
  <c r="Q15" i="1"/>
  <c r="R15" i="1" a="1"/>
  <c r="R15" i="1" s="1"/>
  <c r="P16" i="1" a="1"/>
  <c r="P16" i="1"/>
  <c r="Q16" i="1" a="1"/>
  <c r="Q16" i="1" s="1"/>
  <c r="R16" i="1" a="1"/>
  <c r="R16" i="1"/>
  <c r="R2" i="1" a="1"/>
  <c r="R2" i="1" s="1"/>
  <c r="Q2" i="1" a="1"/>
  <c r="Q2" i="1" s="1"/>
  <c r="P2" i="1" a="1"/>
  <c r="P2" i="1" s="1"/>
  <c r="N3" i="1"/>
  <c r="N4" i="1"/>
  <c r="N5" i="1"/>
  <c r="O5" i="1" s="1" a="1"/>
  <c r="O5" i="1" s="1"/>
  <c r="N6" i="1"/>
  <c r="N7" i="1"/>
  <c r="N8" i="1"/>
  <c r="N9" i="1"/>
  <c r="N10" i="1"/>
  <c r="O10" i="1" s="1" a="1"/>
  <c r="O10" i="1" s="1"/>
  <c r="N11" i="1"/>
  <c r="N12" i="1"/>
  <c r="N13" i="1"/>
  <c r="N14" i="1"/>
  <c r="O14" i="1" s="1" a="1"/>
  <c r="O14" i="1" s="1"/>
  <c r="N15" i="1"/>
  <c r="N16" i="1"/>
  <c r="N2" i="1"/>
  <c r="O2" i="1" s="1" a="1"/>
  <c r="O2" i="1" s="1"/>
  <c r="H2" i="1"/>
  <c r="I2" i="1" s="1" a="1"/>
  <c r="I2" i="1" s="1"/>
  <c r="K2" i="1" s="1" a="1"/>
  <c r="K2" i="1" s="1"/>
  <c r="K17" i="1" s="1"/>
  <c r="D17" i="1"/>
  <c r="E17" i="1"/>
  <c r="F17" i="1"/>
  <c r="D2" i="1" a="1"/>
  <c r="D2" i="1" s="1"/>
  <c r="N15" i="2"/>
  <c r="O15" i="2" s="1" a="1"/>
  <c r="O15" i="2" s="1"/>
  <c r="K15" i="2" a="1"/>
  <c r="K15" i="2" s="1"/>
  <c r="I15" i="2" a="1"/>
  <c r="I15" i="2" s="1"/>
  <c r="H15" i="2"/>
  <c r="C15" i="2" a="1"/>
  <c r="C15" i="2" s="1"/>
  <c r="B15" i="2"/>
  <c r="N14" i="2"/>
  <c r="O14" i="2" s="1" a="1"/>
  <c r="O14" i="2" s="1"/>
  <c r="H14" i="2"/>
  <c r="I14" i="2" s="1" a="1"/>
  <c r="I14" i="2" s="1"/>
  <c r="E14" i="2" a="1"/>
  <c r="E14" i="2" s="1"/>
  <c r="C14" i="2" a="1"/>
  <c r="C14" i="2" s="1"/>
  <c r="B14" i="2"/>
  <c r="O13" i="2" a="1"/>
  <c r="O13" i="2" s="1"/>
  <c r="N13" i="2"/>
  <c r="L13" i="2" a="1"/>
  <c r="L13" i="2" s="1"/>
  <c r="J13" i="2" a="1"/>
  <c r="J13" i="2" s="1"/>
  <c r="H13" i="2"/>
  <c r="I13" i="2" s="1" a="1"/>
  <c r="I13" i="2" s="1"/>
  <c r="C13" i="2"/>
  <c r="B13" i="2"/>
  <c r="C13" i="2" s="1" a="1"/>
  <c r="Q12" i="2" a="1"/>
  <c r="Q12" i="2" s="1"/>
  <c r="O12" i="2" a="1"/>
  <c r="O12" i="2" s="1"/>
  <c r="N12" i="2"/>
  <c r="I12" i="2" a="1"/>
  <c r="I12" i="2" s="1"/>
  <c r="H12" i="2"/>
  <c r="F12" i="2" a="1"/>
  <c r="F12" i="2" s="1"/>
  <c r="D12" i="2" a="1"/>
  <c r="D12" i="2" s="1"/>
  <c r="B12" i="2"/>
  <c r="C12" i="2" s="1" a="1"/>
  <c r="C12" i="2" s="1"/>
  <c r="E12" i="2" s="1" a="1"/>
  <c r="E12" i="2" s="1"/>
  <c r="O11" i="2"/>
  <c r="N11" i="2"/>
  <c r="O11" i="2" s="1" a="1"/>
  <c r="I11" i="2" a="1"/>
  <c r="I11" i="2" s="1"/>
  <c r="H11" i="2"/>
  <c r="C11" i="2" a="1"/>
  <c r="C11" i="2" s="1"/>
  <c r="B11" i="2"/>
  <c r="N10" i="2"/>
  <c r="O10" i="2" s="1" a="1"/>
  <c r="O10" i="2" s="1"/>
  <c r="I10" i="2"/>
  <c r="P10" i="2" s="1" a="1"/>
  <c r="P10" i="2" s="1"/>
  <c r="H10" i="2"/>
  <c r="I10" i="2" s="1" a="1"/>
  <c r="E10" i="2" a="1"/>
  <c r="E10" i="2" s="1"/>
  <c r="C10" i="2" a="1"/>
  <c r="C10" i="2" s="1"/>
  <c r="B10" i="2"/>
  <c r="O9" i="2" a="1"/>
  <c r="O9" i="2" s="1"/>
  <c r="N9" i="2"/>
  <c r="J9" i="2" a="1"/>
  <c r="J9" i="2" s="1"/>
  <c r="H9" i="2"/>
  <c r="I9" i="2" s="1" a="1"/>
  <c r="I9" i="2" s="1"/>
  <c r="L9" i="2" s="1" a="1"/>
  <c r="L9" i="2" s="1"/>
  <c r="B9" i="2"/>
  <c r="C9" i="2" s="1" a="1"/>
  <c r="C9" i="2" s="1"/>
  <c r="Q8" i="2" a="1"/>
  <c r="Q8" i="2" s="1"/>
  <c r="O8" i="2" a="1"/>
  <c r="O8" i="2" s="1"/>
  <c r="N8" i="2"/>
  <c r="I8" i="2" a="1"/>
  <c r="I8" i="2" s="1"/>
  <c r="H8" i="2"/>
  <c r="F8" i="2" a="1"/>
  <c r="F8" i="2" s="1"/>
  <c r="D8" i="2" a="1"/>
  <c r="D8" i="2" s="1"/>
  <c r="B8" i="2"/>
  <c r="C8" i="2" s="1" a="1"/>
  <c r="C8" i="2" s="1"/>
  <c r="E8" i="2" s="1" a="1"/>
  <c r="E8" i="2" s="1"/>
  <c r="O7" i="2"/>
  <c r="N7" i="2"/>
  <c r="O7" i="2" s="1" a="1"/>
  <c r="K7" i="2" a="1"/>
  <c r="K7" i="2" s="1"/>
  <c r="I7" i="2" a="1"/>
  <c r="I7" i="2" s="1"/>
  <c r="H7" i="2"/>
  <c r="C7" i="2" a="1"/>
  <c r="C7" i="2" s="1"/>
  <c r="B7" i="2"/>
  <c r="N6" i="2"/>
  <c r="O6" i="2" s="1" a="1"/>
  <c r="O6" i="2" s="1"/>
  <c r="I6" i="2"/>
  <c r="P6" i="2" s="1" a="1"/>
  <c r="P6" i="2" s="1"/>
  <c r="H6" i="2"/>
  <c r="I6" i="2" s="1" a="1"/>
  <c r="C6" i="2" a="1"/>
  <c r="C6" i="2" s="1"/>
  <c r="E6" i="2" s="1" a="1"/>
  <c r="E6" i="2" s="1"/>
  <c r="B6" i="2"/>
  <c r="O5" i="2" a="1"/>
  <c r="O5" i="2" s="1"/>
  <c r="N5" i="2"/>
  <c r="H5" i="2"/>
  <c r="I5" i="2" s="1" a="1"/>
  <c r="I5" i="2" s="1"/>
  <c r="C5" i="2"/>
  <c r="B5" i="2"/>
  <c r="C5" i="2" s="1" a="1"/>
  <c r="Q4" i="2" a="1"/>
  <c r="Q4" i="2" s="1"/>
  <c r="O4" i="2" a="1"/>
  <c r="O4" i="2" s="1"/>
  <c r="N4" i="2"/>
  <c r="I4" i="2" a="1"/>
  <c r="I4" i="2" s="1"/>
  <c r="H4" i="2"/>
  <c r="D4" i="2" a="1"/>
  <c r="D4" i="2" s="1"/>
  <c r="B4" i="2"/>
  <c r="C4" i="2" s="1" a="1"/>
  <c r="C4" i="2" s="1"/>
  <c r="E4" i="2" s="1" a="1"/>
  <c r="E4" i="2" s="1"/>
  <c r="N3" i="2"/>
  <c r="O3" i="2" s="1" a="1"/>
  <c r="O3" i="2" s="1"/>
  <c r="I3" i="2" a="1"/>
  <c r="I3" i="2"/>
  <c r="P3" i="2" s="1" a="1"/>
  <c r="P3" i="2" s="1"/>
  <c r="H3" i="2"/>
  <c r="C3" i="2" a="1"/>
  <c r="C3" i="2" s="1"/>
  <c r="E3" i="2" s="1" a="1"/>
  <c r="E3" i="2" s="1"/>
  <c r="B3" i="2"/>
  <c r="N2" i="2"/>
  <c r="O2" i="2" s="1" a="1"/>
  <c r="O2" i="2" s="1"/>
  <c r="H2" i="2"/>
  <c r="I2" i="2" s="1" a="1"/>
  <c r="I2" i="2" s="1"/>
  <c r="C2" i="2" a="1"/>
  <c r="C2" i="2"/>
  <c r="B2" i="2"/>
  <c r="H6" i="1"/>
  <c r="I6" i="1" s="1" a="1"/>
  <c r="I6" i="1" s="1"/>
  <c r="J6" i="1" s="1" a="1"/>
  <c r="J6" i="1" s="1"/>
  <c r="O6" i="1" a="1"/>
  <c r="O6" i="1" s="1"/>
  <c r="H7" i="1"/>
  <c r="I7" i="1" s="1" a="1"/>
  <c r="I7" i="1" s="1"/>
  <c r="O7" i="1" a="1"/>
  <c r="O7" i="1" s="1"/>
  <c r="H8" i="1"/>
  <c r="I8" i="1" s="1" a="1"/>
  <c r="I8" i="1" s="1"/>
  <c r="L8" i="1" s="1" a="1"/>
  <c r="L8" i="1" s="1"/>
  <c r="O8" i="1" a="1"/>
  <c r="O8" i="1" s="1"/>
  <c r="H5" i="1"/>
  <c r="I5" i="1" s="1" a="1"/>
  <c r="I5" i="1" s="1"/>
  <c r="K5" i="1" s="1" a="1"/>
  <c r="K5" i="1" s="1"/>
  <c r="H9" i="1"/>
  <c r="I9" i="1" s="1" a="1"/>
  <c r="I9" i="1" s="1"/>
  <c r="K9" i="1" s="1" a="1"/>
  <c r="K9" i="1" s="1"/>
  <c r="O9" i="1" a="1"/>
  <c r="O9" i="1" s="1"/>
  <c r="H3" i="1"/>
  <c r="I3" i="1" s="1" a="1"/>
  <c r="I3" i="1" s="1"/>
  <c r="O3" i="1" a="1"/>
  <c r="O3" i="1" s="1"/>
  <c r="H4" i="1"/>
  <c r="I4" i="1" s="1" a="1"/>
  <c r="I4" i="1" s="1"/>
  <c r="L4" i="1" s="1" a="1"/>
  <c r="L4" i="1" s="1"/>
  <c r="O4" i="1" a="1"/>
  <c r="O4" i="1" s="1"/>
  <c r="H10" i="1"/>
  <c r="I10" i="1" s="1" a="1"/>
  <c r="I10" i="1" s="1"/>
  <c r="H11" i="1"/>
  <c r="I11" i="1" s="1" a="1"/>
  <c r="I11" i="1" s="1"/>
  <c r="O11" i="1" a="1"/>
  <c r="O11" i="1" s="1"/>
  <c r="H12" i="1"/>
  <c r="I12" i="1" s="1" a="1"/>
  <c r="I12" i="1" s="1"/>
  <c r="O12" i="1" a="1"/>
  <c r="O12" i="1" s="1"/>
  <c r="H13" i="1"/>
  <c r="I13" i="1" s="1" a="1"/>
  <c r="I13" i="1" s="1"/>
  <c r="O13" i="1" a="1"/>
  <c r="O13" i="1" s="1"/>
  <c r="H14" i="1"/>
  <c r="I14" i="1" s="1" a="1"/>
  <c r="I14" i="1" s="1"/>
  <c r="H15" i="1"/>
  <c r="I15" i="1" a="1"/>
  <c r="I15" i="1" s="1"/>
  <c r="O15" i="1" a="1"/>
  <c r="O15" i="1" s="1"/>
  <c r="H16" i="1"/>
  <c r="I16" i="1" s="1" a="1"/>
  <c r="I16" i="1" s="1"/>
  <c r="O16" i="1" a="1"/>
  <c r="O16" i="1" s="1"/>
  <c r="B6" i="1"/>
  <c r="C6" i="1" s="1" a="1"/>
  <c r="C6" i="1" s="1"/>
  <c r="B7" i="1"/>
  <c r="C7" i="1" s="1" a="1"/>
  <c r="C7" i="1" s="1"/>
  <c r="B8" i="1"/>
  <c r="C8" i="1" a="1"/>
  <c r="C8" i="1" s="1"/>
  <c r="B5" i="1"/>
  <c r="C5" i="1" s="1" a="1"/>
  <c r="C5" i="1" s="1"/>
  <c r="B2" i="1"/>
  <c r="C2" i="1" s="1" a="1"/>
  <c r="C2" i="1" s="1"/>
  <c r="B9" i="1"/>
  <c r="C9" i="1" s="1" a="1"/>
  <c r="C9" i="1" s="1"/>
  <c r="B3" i="1"/>
  <c r="C3" i="1" s="1" a="1"/>
  <c r="C3" i="1" s="1"/>
  <c r="B4" i="1"/>
  <c r="C4" i="1" s="1" a="1"/>
  <c r="C4" i="1" s="1"/>
  <c r="B10" i="1"/>
  <c r="C10" i="1" s="1" a="1"/>
  <c r="C10" i="1" s="1"/>
  <c r="B11" i="1"/>
  <c r="C11" i="1" s="1" a="1"/>
  <c r="C11" i="1" s="1"/>
  <c r="B12" i="1"/>
  <c r="C12" i="1" s="1" a="1"/>
  <c r="C12" i="1" s="1"/>
  <c r="B13" i="1"/>
  <c r="C13" i="1" s="1" a="1"/>
  <c r="C13" i="1" s="1"/>
  <c r="B14" i="1"/>
  <c r="C14" i="1" s="1" a="1"/>
  <c r="C14" i="1" s="1"/>
  <c r="B15" i="1"/>
  <c r="C15" i="1" s="1" a="1"/>
  <c r="C15" i="1" s="1"/>
  <c r="B16" i="1"/>
  <c r="C16" i="1" s="1" a="1"/>
  <c r="C16" i="1" s="1"/>
  <c r="Z6" i="1" l="1"/>
  <c r="Y8" i="1"/>
  <c r="Z7" i="1"/>
  <c r="L14" i="2" a="1"/>
  <c r="L14" i="2" s="1"/>
  <c r="J14" i="2" a="1"/>
  <c r="J14" i="2" s="1"/>
  <c r="Q14" i="2" a="1"/>
  <c r="Q14" i="2" s="1"/>
  <c r="K14" i="2" a="1"/>
  <c r="K14" i="2" s="1"/>
  <c r="P14" i="2" a="1"/>
  <c r="P14" i="2" s="1"/>
  <c r="R14" i="2" a="1"/>
  <c r="R14" i="2" s="1"/>
  <c r="K14" i="1" a="1"/>
  <c r="K14" i="1" s="1"/>
  <c r="L14" i="1" a="1"/>
  <c r="L14" i="1" s="1"/>
  <c r="K12" i="1" a="1"/>
  <c r="K12" i="1" s="1"/>
  <c r="Q2" i="2" a="1"/>
  <c r="Q2" i="2" s="1"/>
  <c r="K2" i="2" a="1"/>
  <c r="K2" i="2" s="1"/>
  <c r="P2" i="2" a="1"/>
  <c r="P2" i="2" s="1"/>
  <c r="L2" i="2" a="1"/>
  <c r="L2" i="2" s="1"/>
  <c r="J2" i="2" a="1"/>
  <c r="J2" i="2" s="1"/>
  <c r="R2" i="2" a="1"/>
  <c r="R2" i="2" s="1"/>
  <c r="F9" i="2" a="1"/>
  <c r="F9" i="2" s="1"/>
  <c r="D9" i="2" a="1"/>
  <c r="D9" i="2" s="1"/>
  <c r="E9" i="2" a="1"/>
  <c r="E9" i="2" s="1"/>
  <c r="Q5" i="2" a="1"/>
  <c r="Q5" i="2" s="1"/>
  <c r="K5" i="2" a="1"/>
  <c r="K5" i="2" s="1"/>
  <c r="R5" i="2" a="1"/>
  <c r="R5" i="2" s="1"/>
  <c r="P5" i="2" a="1"/>
  <c r="P5" i="2" s="1"/>
  <c r="R11" i="2" a="1"/>
  <c r="R11" i="2" s="1"/>
  <c r="P11" i="2" a="1"/>
  <c r="P11" i="2" s="1"/>
  <c r="L11" i="2" a="1"/>
  <c r="L11" i="2" s="1"/>
  <c r="J11" i="2" a="1"/>
  <c r="J11" i="2" s="1"/>
  <c r="Q11" i="2" a="1"/>
  <c r="Q11" i="2" s="1"/>
  <c r="F13" i="2" a="1"/>
  <c r="F13" i="2" s="1"/>
  <c r="D13" i="2" a="1"/>
  <c r="D13" i="2" s="1"/>
  <c r="E13" i="2" a="1"/>
  <c r="E13" i="2" s="1"/>
  <c r="J4" i="1" a="1"/>
  <c r="J4" i="1" s="1"/>
  <c r="J8" i="1" a="1"/>
  <c r="J8" i="1" s="1"/>
  <c r="F4" i="2" a="1"/>
  <c r="F4" i="2" s="1"/>
  <c r="J5" i="2" a="1"/>
  <c r="J5" i="2" s="1"/>
  <c r="E7" i="2" a="1"/>
  <c r="E7" i="2" s="1"/>
  <c r="F7" i="2" a="1"/>
  <c r="F7" i="2" s="1"/>
  <c r="D7" i="2" a="1"/>
  <c r="D7" i="2" s="1"/>
  <c r="R7" i="2" a="1"/>
  <c r="R7" i="2" s="1"/>
  <c r="P7" i="2" a="1"/>
  <c r="P7" i="2" s="1"/>
  <c r="L7" i="2" a="1"/>
  <c r="L7" i="2" s="1"/>
  <c r="J7" i="2" a="1"/>
  <c r="J7" i="2" s="1"/>
  <c r="Q7" i="2" a="1"/>
  <c r="Q7" i="2" s="1"/>
  <c r="K11" i="2" a="1"/>
  <c r="K11" i="2" s="1"/>
  <c r="K12" i="2" a="1"/>
  <c r="K12" i="2" s="1"/>
  <c r="R12" i="2" a="1"/>
  <c r="R12" i="2" s="1"/>
  <c r="P12" i="2" a="1"/>
  <c r="P12" i="2" s="1"/>
  <c r="L12" i="2" a="1"/>
  <c r="L12" i="2" s="1"/>
  <c r="J12" i="2" a="1"/>
  <c r="J12" i="2" s="1"/>
  <c r="R3" i="2" a="1"/>
  <c r="R3" i="2" s="1"/>
  <c r="F6" i="2" a="1"/>
  <c r="F6" i="2" s="1"/>
  <c r="D6" i="2" a="1"/>
  <c r="D6" i="2" s="1"/>
  <c r="E11" i="2" a="1"/>
  <c r="E11" i="2" s="1"/>
  <c r="F11" i="2" a="1"/>
  <c r="F11" i="2" s="1"/>
  <c r="D11" i="2" a="1"/>
  <c r="D11" i="2" s="1"/>
  <c r="F5" i="2" a="1"/>
  <c r="F5" i="2" s="1"/>
  <c r="D5" i="2" a="1"/>
  <c r="D5" i="2" s="1"/>
  <c r="E5" i="2" a="1"/>
  <c r="E5" i="2" s="1"/>
  <c r="L5" i="2" a="1"/>
  <c r="L5" i="2" s="1"/>
  <c r="K8" i="2" a="1"/>
  <c r="K8" i="2" s="1"/>
  <c r="R8" i="2" a="1"/>
  <c r="R8" i="2" s="1"/>
  <c r="P8" i="2" a="1"/>
  <c r="P8" i="2" s="1"/>
  <c r="L8" i="2" a="1"/>
  <c r="L8" i="2" s="1"/>
  <c r="J8" i="2" a="1"/>
  <c r="J8" i="2" s="1"/>
  <c r="L10" i="2" a="1"/>
  <c r="L10" i="2" s="1"/>
  <c r="J10" i="2" a="1"/>
  <c r="J10" i="2" s="1"/>
  <c r="Q10" i="2" a="1"/>
  <c r="Q10" i="2" s="1"/>
  <c r="K10" i="2" a="1"/>
  <c r="K10" i="2" s="1"/>
  <c r="R10" i="2" a="1"/>
  <c r="R10" i="2" s="1"/>
  <c r="Q13" i="2" a="1"/>
  <c r="Q13" i="2" s="1"/>
  <c r="K13" i="2" a="1"/>
  <c r="K13" i="2" s="1"/>
  <c r="R13" i="2" a="1"/>
  <c r="R13" i="2" s="1"/>
  <c r="P13" i="2" a="1"/>
  <c r="P13" i="2" s="1"/>
  <c r="F14" i="2" a="1"/>
  <c r="F14" i="2" s="1"/>
  <c r="D14" i="2" a="1"/>
  <c r="D14" i="2" s="1"/>
  <c r="F2" i="2" a="1"/>
  <c r="F2" i="2" s="1"/>
  <c r="D2" i="2" a="1"/>
  <c r="D2" i="2" s="1"/>
  <c r="L3" i="2" a="1"/>
  <c r="L3" i="2" s="1"/>
  <c r="J3" i="2" a="1"/>
  <c r="J3" i="2" s="1"/>
  <c r="Q3" i="2" a="1"/>
  <c r="Q3" i="2" s="1"/>
  <c r="E2" i="2" a="1"/>
  <c r="E2" i="2" s="1"/>
  <c r="F3" i="2" a="1"/>
  <c r="F3" i="2" s="1"/>
  <c r="D3" i="2" a="1"/>
  <c r="D3" i="2" s="1"/>
  <c r="K3" i="2" a="1"/>
  <c r="K3" i="2" s="1"/>
  <c r="K4" i="2" a="1"/>
  <c r="K4" i="2" s="1"/>
  <c r="R4" i="2" a="1"/>
  <c r="R4" i="2" s="1"/>
  <c r="P4" i="2" a="1"/>
  <c r="P4" i="2" s="1"/>
  <c r="L4" i="2" a="1"/>
  <c r="L4" i="2" s="1"/>
  <c r="J4" i="2" a="1"/>
  <c r="J4" i="2" s="1"/>
  <c r="L6" i="2" a="1"/>
  <c r="L6" i="2" s="1"/>
  <c r="J6" i="2" a="1"/>
  <c r="J6" i="2" s="1"/>
  <c r="Q6" i="2" a="1"/>
  <c r="Q6" i="2" s="1"/>
  <c r="K6" i="2" a="1"/>
  <c r="K6" i="2" s="1"/>
  <c r="R6" i="2" a="1"/>
  <c r="R6" i="2" s="1"/>
  <c r="Q9" i="2" a="1"/>
  <c r="Q9" i="2" s="1"/>
  <c r="K9" i="2" a="1"/>
  <c r="K9" i="2" s="1"/>
  <c r="R9" i="2" a="1"/>
  <c r="R9" i="2" s="1"/>
  <c r="P9" i="2" a="1"/>
  <c r="P9" i="2" s="1"/>
  <c r="F10" i="2" a="1"/>
  <c r="F10" i="2" s="1"/>
  <c r="D10" i="2" a="1"/>
  <c r="D10" i="2" s="1"/>
  <c r="E15" i="2" a="1"/>
  <c r="E15" i="2" s="1"/>
  <c r="F15" i="2" a="1"/>
  <c r="F15" i="2" s="1"/>
  <c r="D15" i="2" a="1"/>
  <c r="D15" i="2" s="1"/>
  <c r="R15" i="2" a="1"/>
  <c r="R15" i="2" s="1"/>
  <c r="P15" i="2" a="1"/>
  <c r="P15" i="2" s="1"/>
  <c r="L15" i="2" a="1"/>
  <c r="L15" i="2" s="1"/>
  <c r="J15" i="2" a="1"/>
  <c r="J15" i="2" s="1"/>
  <c r="Q15" i="2" a="1"/>
  <c r="Q15" i="2" s="1"/>
  <c r="K10" i="1" a="1"/>
  <c r="K10" i="1" s="1"/>
  <c r="J15" i="1" a="1"/>
  <c r="J15" i="1" s="1"/>
  <c r="L15" i="1" a="1"/>
  <c r="L15" i="1" s="1"/>
  <c r="K15" i="1" a="1"/>
  <c r="K15" i="1" s="1"/>
  <c r="J13" i="1" a="1"/>
  <c r="J13" i="1" s="1"/>
  <c r="L13" i="1" a="1"/>
  <c r="L13" i="1" s="1"/>
  <c r="K13" i="1" a="1"/>
  <c r="K13" i="1" s="1"/>
  <c r="K16" i="1" a="1"/>
  <c r="K16" i="1" s="1"/>
  <c r="J16" i="1" a="1"/>
  <c r="J16" i="1" s="1"/>
  <c r="L16" i="1" a="1"/>
  <c r="L16" i="1" s="1"/>
  <c r="K11" i="1" a="1"/>
  <c r="K11" i="1" s="1"/>
  <c r="J3" i="1" a="1"/>
  <c r="J3" i="1" s="1"/>
  <c r="L3" i="1" a="1"/>
  <c r="L3" i="1" s="1"/>
  <c r="J7" i="1" a="1"/>
  <c r="J7" i="1" s="1"/>
  <c r="L7" i="1" a="1"/>
  <c r="L7" i="1" s="1"/>
  <c r="J14" i="1" a="1"/>
  <c r="J14" i="1" s="1"/>
  <c r="L11" i="1" a="1"/>
  <c r="L11" i="1" s="1"/>
  <c r="J9" i="1" a="1"/>
  <c r="J9" i="1" s="1"/>
  <c r="L9" i="1" a="1"/>
  <c r="L9" i="1" s="1"/>
  <c r="L6" i="1" a="1"/>
  <c r="L6" i="1" s="1"/>
  <c r="J10" i="1" a="1"/>
  <c r="J10" i="1" s="1"/>
  <c r="L10" i="1" a="1"/>
  <c r="L10" i="1" s="1"/>
  <c r="Q17" i="1"/>
  <c r="X3" i="1" s="1"/>
  <c r="J2" i="1" a="1"/>
  <c r="J2" i="1" s="1"/>
  <c r="J17" i="1" s="1"/>
  <c r="L2" i="1" a="1"/>
  <c r="L2" i="1" s="1"/>
  <c r="L17" i="1" s="1"/>
  <c r="P17" i="1"/>
  <c r="W3" i="1" s="1"/>
  <c r="R17" i="1"/>
  <c r="Y3" i="1" s="1"/>
  <c r="J12" i="1" a="1"/>
  <c r="J12" i="1" s="1"/>
  <c r="L12" i="1" a="1"/>
  <c r="L12" i="1" s="1"/>
  <c r="J11" i="1" a="1"/>
  <c r="J11" i="1" s="1"/>
  <c r="K4" i="1" a="1"/>
  <c r="K4" i="1" s="1"/>
  <c r="K3" i="1" a="1"/>
  <c r="K3" i="1" s="1"/>
  <c r="J5" i="1" a="1"/>
  <c r="J5" i="1" s="1"/>
  <c r="L5" i="1" a="1"/>
  <c r="L5" i="1" s="1"/>
  <c r="K8" i="1" a="1"/>
  <c r="K8" i="1" s="1"/>
  <c r="K7" i="1" a="1"/>
  <c r="K7" i="1" s="1"/>
  <c r="K6" i="1" a="1"/>
  <c r="K6" i="1" s="1"/>
  <c r="D14" i="1" a="1"/>
  <c r="D14" i="1" s="1"/>
  <c r="E14" i="1" a="1"/>
  <c r="E14" i="1" s="1"/>
  <c r="F14" i="1" a="1"/>
  <c r="F14" i="1" s="1"/>
  <c r="E10" i="1" a="1"/>
  <c r="E10" i="1" s="1"/>
  <c r="D10" i="1" a="1"/>
  <c r="D10" i="1" s="1"/>
  <c r="F10" i="1" a="1"/>
  <c r="F10" i="1" s="1"/>
  <c r="F2" i="1" a="1"/>
  <c r="F2" i="1" s="1"/>
  <c r="E2" i="1" a="1"/>
  <c r="E2" i="1" s="1"/>
  <c r="D8" i="1" a="1"/>
  <c r="D8" i="1" s="1"/>
  <c r="F8" i="1" a="1"/>
  <c r="F8" i="1" s="1"/>
  <c r="E8" i="1" a="1"/>
  <c r="E8" i="1" s="1"/>
  <c r="D15" i="1" a="1"/>
  <c r="D15" i="1" s="1"/>
  <c r="F15" i="1" a="1"/>
  <c r="F15" i="1" s="1"/>
  <c r="E15" i="1" a="1"/>
  <c r="E15" i="1" s="1"/>
  <c r="E4" i="1" a="1"/>
  <c r="E4" i="1" s="1"/>
  <c r="D4" i="1" a="1"/>
  <c r="D4" i="1" s="1"/>
  <c r="F4" i="1" a="1"/>
  <c r="F4" i="1" s="1"/>
  <c r="E9" i="1" a="1"/>
  <c r="E9" i="1" s="1"/>
  <c r="D9" i="1" a="1"/>
  <c r="D9" i="1" s="1"/>
  <c r="F9" i="1" a="1"/>
  <c r="F9" i="1" s="1"/>
  <c r="D12" i="1" a="1"/>
  <c r="D12" i="1" s="1"/>
  <c r="F12" i="1" a="1"/>
  <c r="F12" i="1" s="1"/>
  <c r="E12" i="1" a="1"/>
  <c r="E12" i="1" s="1"/>
  <c r="D7" i="1" a="1"/>
  <c r="D7" i="1" s="1"/>
  <c r="F7" i="1" a="1"/>
  <c r="F7" i="1" s="1"/>
  <c r="E7" i="1" a="1"/>
  <c r="E7" i="1" s="1"/>
  <c r="E5" i="1" a="1"/>
  <c r="E5" i="1" s="1"/>
  <c r="D5" i="1" a="1"/>
  <c r="D5" i="1" s="1"/>
  <c r="F5" i="1" a="1"/>
  <c r="F5" i="1" s="1"/>
  <c r="D16" i="1" a="1"/>
  <c r="D16" i="1" s="1"/>
  <c r="F16" i="1" a="1"/>
  <c r="F16" i="1" s="1"/>
  <c r="E16" i="1" a="1"/>
  <c r="E16" i="1" s="1"/>
  <c r="E13" i="1" a="1"/>
  <c r="E13" i="1" s="1"/>
  <c r="D13" i="1" a="1"/>
  <c r="D13" i="1" s="1"/>
  <c r="F13" i="1" a="1"/>
  <c r="F13" i="1" s="1"/>
  <c r="E11" i="1" a="1"/>
  <c r="E11" i="1" s="1"/>
  <c r="D11" i="1" a="1"/>
  <c r="D11" i="1" s="1"/>
  <c r="F11" i="1" a="1"/>
  <c r="F11" i="1" s="1"/>
  <c r="D3" i="1" a="1"/>
  <c r="D3" i="1" s="1"/>
  <c r="F3" i="1" a="1"/>
  <c r="F3" i="1" s="1"/>
  <c r="E3" i="1" a="1"/>
  <c r="E3" i="1" s="1"/>
  <c r="D6" i="1" a="1"/>
  <c r="D6" i="1" s="1"/>
  <c r="E6" i="1" a="1"/>
  <c r="E6" i="1" s="1"/>
  <c r="F6" i="1" a="1"/>
  <c r="F6" i="1" s="1"/>
  <c r="Z8" i="1" l="1"/>
  <c r="AA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<sst xmlns="http://schemas.openxmlformats.org/spreadsheetml/2006/main" count="149" uniqueCount="47">
  <si>
    <t>Number</t>
  </si>
  <si>
    <t>PPC125</t>
  </si>
  <si>
    <t>Charles</t>
  </si>
  <si>
    <t xml:space="preserve">Harry </t>
  </si>
  <si>
    <t>LightHouse</t>
  </si>
  <si>
    <t>Totals</t>
  </si>
  <si>
    <t>SSN</t>
  </si>
  <si>
    <t>267-83-1907</t>
  </si>
  <si>
    <t>595-37-7848</t>
  </si>
  <si>
    <t>262-81-0554</t>
  </si>
  <si>
    <t>766-12-9273</t>
  </si>
  <si>
    <t>261-79-7585</t>
  </si>
  <si>
    <t>263-51-1157</t>
  </si>
  <si>
    <t>264-59-3525</t>
  </si>
  <si>
    <t>590-09-2317</t>
  </si>
  <si>
    <t>769-22-3601</t>
  </si>
  <si>
    <t>266-63-5235</t>
  </si>
  <si>
    <t>086-52-7928</t>
  </si>
  <si>
    <t>589-38-6647</t>
  </si>
  <si>
    <t>264-57-8727</t>
  </si>
  <si>
    <t>182-56-0207</t>
  </si>
  <si>
    <t>851-90-6644</t>
  </si>
  <si>
    <t>839-74-3523</t>
  </si>
  <si>
    <t>396-83-8351</t>
  </si>
  <si>
    <t>590-83-6966</t>
  </si>
  <si>
    <t>591-07-2353</t>
  </si>
  <si>
    <t>589-23-6142</t>
  </si>
  <si>
    <t>767-16-0126</t>
  </si>
  <si>
    <t>051-92-6101</t>
  </si>
  <si>
    <t>590-93-0203</t>
  </si>
  <si>
    <t>297-74-8505</t>
  </si>
  <si>
    <t>673-28-9066</t>
  </si>
  <si>
    <t>590-75-5901</t>
  </si>
  <si>
    <t>263-77-6888</t>
  </si>
  <si>
    <t>770-34-1424</t>
  </si>
  <si>
    <t>D-ppc 125</t>
  </si>
  <si>
    <t>-7,753.86</t>
  </si>
  <si>
    <t>-8,861.56</t>
  </si>
  <si>
    <t>594-55-2970</t>
  </si>
  <si>
    <t>-8,769.25</t>
  </si>
  <si>
    <t>Plan 1000 Total</t>
  </si>
  <si>
    <t>Other Plans Total</t>
  </si>
  <si>
    <t>Agent 1</t>
  </si>
  <si>
    <t>Agent 2</t>
  </si>
  <si>
    <t>[W1}</t>
  </si>
  <si>
    <t>[W2}</t>
  </si>
  <si>
    <t>[W3}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</si>
</sst>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4" fontId="1" fillId="2" borderId="0" xfId="1" applyFont="1" applyFill="1" applyBorder="1" applyAlignment="1">
      <alignment horizontal="center"/>
    </xf>
    <xf numFmtId="44" fontId="1" fillId="3" borderId="0" xfId="1" applyFont="1" applyFill="1" applyBorder="1" applyAlignment="1">
      <alignment horizontal="center"/>
    </xf>
    <xf numFmtId="44" fontId="1" fillId="4" borderId="0" xfId="1" applyFont="1" applyFill="1" applyBorder="1" applyAlignment="1">
      <alignment horizontal="center"/>
    </xf>
    <xf numFmtId="0" fontId="1" fillId="0" borderId="0" xfId="0" applyFont="1"/>
    <xf numFmtId="0" fontId="1" fillId="6" borderId="0" xfId="0" applyFont="1" applyFill="1"/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0CD2-3229-46DC-8F34-BEA6A6826EE1}">
  <dimension ref="A1:AA17"/>
  <sheetViews>
    <sheetView tabSelected="1" zoomScaleNormal="100" workbookViewId="0">
      <selection activeCell="D2" sqref="D2"/>
    </sheetView>
  </sheetViews>
  <sheetFormatPr defaultColWidth="10.7109375" defaultRowHeight="15" x14ac:dyDescent="0.25"/>
  <cols>
    <col min="6" max="6" width="11.85546875" customWidth="1"/>
    <col min="7" max="7" width="1.5703125" style="3" customWidth="1"/>
    <col min="13" max="13" width="1.5703125" style="3" customWidth="1"/>
    <col min="19" max="19" width="1.5703125" style="3" customWidth="1"/>
    <col min="23" max="23" width="16.42578125" bestFit="1" customWidth="1"/>
  </cols>
  <sheetData>
    <row r="1" spans="1:27" s="1" customFormat="1" x14ac:dyDescent="0.25">
      <c r="A1" s="4" t="s">
        <v>0</v>
      </c>
      <c r="B1" s="4" t="s">
        <v>1</v>
      </c>
      <c r="C1" s="4" t="s">
        <v>44</v>
      </c>
      <c r="D1" s="5" t="s">
        <v>2</v>
      </c>
      <c r="E1" s="6" t="s">
        <v>3</v>
      </c>
      <c r="F1" s="7" t="s">
        <v>4</v>
      </c>
      <c r="G1" s="2"/>
      <c r="H1" s="4" t="s">
        <v>1</v>
      </c>
      <c r="I1" s="4" t="s">
        <v>45</v>
      </c>
      <c r="J1" s="5" t="s">
        <v>2</v>
      </c>
      <c r="K1" s="6" t="s">
        <v>3</v>
      </c>
      <c r="L1" s="7" t="s">
        <v>4</v>
      </c>
      <c r="M1" s="2"/>
      <c r="N1" s="4" t="s">
        <v>1</v>
      </c>
      <c r="O1" s="4" t="s">
        <v>46</v>
      </c>
      <c r="P1" s="5" t="s">
        <v>2</v>
      </c>
      <c r="Q1" s="6" t="s">
        <v>3</v>
      </c>
      <c r="R1" s="7" t="s">
        <v>4</v>
      </c>
      <c r="S1" s="2"/>
      <c r="T1"/>
      <c r="U1"/>
      <c r="V1"/>
      <c r="W1" s="19" t="s">
        <v>5</v>
      </c>
      <c r="X1" s="19"/>
      <c r="Y1" s="19"/>
    </row>
    <row r="2" spans="1:27" x14ac:dyDescent="0.25">
      <c r="A2" s="11" t="s">
        <v>17</v>
      </c>
      <c r="B2">
        <f>VLOOKUP(A2,'12.2'!A:B,2,FALSE)</f>
        <v>-738.46</v>
      </c>
      <c r="C2" t="str" cm="1">
        <f t="array" ref="C2">_xlfn.IFS(
B2=-738.46,"Plan 1600",
B2=-646.15,"Plan 1400",
B2=-553.85,"Plan 1200",
B2=-461.54,"Plan 1000"
)</f>
        <v>Plan 1600</v>
      </c>
      <c r="D2" s="8" cm="1">
        <f t="array" ref="D2">_xlfn.SWITCH($C2,"Plan 1600",15*12/26,"Plan 1400",10*12/26,"Plan 1200",5*12/26,"Plan 1000",1.5*12/26,"")</f>
        <v>6.9230769230769234</v>
      </c>
      <c r="E2" s="8" cm="1">
        <f t="array" ref="E2">_xlfn.SWITCH($C2,"Plan 1600",97*12/26,"Plan 1400",78*12/26,"Plan 1200",60*12/26,"Plan 1000",25*12/26,"")</f>
        <v>44.769230769230766</v>
      </c>
      <c r="F2" s="8" cm="1">
        <f t="array" ref="F2">_xlfn.SWITCH($C2,"Plan 1600",25*12/26,"Plan 1400",20*12/26,"Plan 1200",15*12/26,"Plan 1000",2*12/26,"")</f>
        <v>11.538461538461538</v>
      </c>
      <c r="H2">
        <f>VLOOKUP(A2,'12.16'!A:B,2,FALSE)</f>
        <v>-738.46</v>
      </c>
      <c r="I2" t="str" cm="1">
        <f t="array" ref="I2">_xlfn.IFS(
H2=-738.46,"Plan 1600",
H2=-646.15,"Plan 1400",
H2=-553.85,"Plan 1200",
H2=-461.54,"Plan 1000"
)</f>
        <v>Plan 1600</v>
      </c>
      <c r="J2" s="8" cm="1">
        <f t="array" ref="J2">_xlfn.SWITCH($I2,"Plan 1600",15*12/26,"Plan 1400",10*12/26,"Plan 1200",5*12/26,"Plan 1000",1.5*12/26,"")</f>
        <v>6.9230769230769234</v>
      </c>
      <c r="K2" s="8" cm="1">
        <f t="array" ref="K2">_xlfn.SWITCH($I2,"Plan 1600",97*12/26,"Plan 1400",78*12/26,"Plan 1200",60*12/26,"Plan 1000",25*12/26,"")</f>
        <v>44.769230769230766</v>
      </c>
      <c r="L2" s="8" cm="1">
        <f t="array" ref="L2">_xlfn.SWITCH($I2,"Plan 1600",25*12/26,"Plan 1400",20*12/26,"Plan 1200",15*12/26,"Plan 1000",2*12/26,"")</f>
        <v>11.538461538461538</v>
      </c>
      <c r="N2">
        <f>VLOOKUP(A2,'12.16'!A:B,2,FALSE)</f>
        <v>-738.46</v>
      </c>
      <c r="O2" t="str" cm="1">
        <f t="array" ref="O2">_xlfn.IFS(
N2=-738.46,"Plan 1600",
N2=-646.15,"Plan 1400",
N2=-553.85,"Plan 1200",
N2=-461.54,"Plan 1000"
)</f>
        <v>Plan 1600</v>
      </c>
      <c r="P2" s="8" cm="1">
        <f t="array" ref="P2">_xlfn.SWITCH($O2,"Plan 1600",15*12/26,"Plan 1400",10*12/26,"Plan 1200",5*12/26,"Plan 1000",1.5*12/26,"")</f>
        <v>6.9230769230769234</v>
      </c>
      <c r="Q2" s="8" cm="1">
        <f t="array" ref="Q2">_xlfn.SWITCH($O2,"Plan 1600",97*12/26,"Plan 1400",78*12/26,"Plan 1200",60*12/26,"Plan 1000",25*12/26,"")</f>
        <v>44.769230769230766</v>
      </c>
      <c r="R2" s="8" cm="1">
        <f t="array" ref="R2">_xlfn.SWITCH($O2,"Plan 1600",25*12/26,"Plan 1400",20*12/26,"Plan 1200",15*12/26,"Plan 1000",2*12/26,"")</f>
        <v>11.538461538461538</v>
      </c>
      <c r="W2" s="14" t="s">
        <v>2</v>
      </c>
      <c r="X2" s="15" t="s">
        <v>3</v>
      </c>
      <c r="Y2" s="16" t="s">
        <v>4</v>
      </c>
    </row>
    <row r="3" spans="1:27" x14ac:dyDescent="0.25">
      <c r="A3" s="11" t="s">
        <v>21</v>
      </c>
      <c r="B3">
        <f>VLOOKUP(A3,'12.2'!A:B,2,FALSE)</f>
        <v>-738.46</v>
      </c>
      <c r="C3" t="str" cm="1">
        <f t="array" ref="C3">_xlfn.IFS(
B3=-738.46,"Plan 1600",
B3=-646.15,"Plan 1400",
B3=-553.85,"Plan 1200",
B3=-461.54,"Plan 1000"
)</f>
        <v>Plan 1600</v>
      </c>
      <c r="D3" s="8" cm="1">
        <f t="array" ref="D3">_xlfn.SWITCH($C3,"Plan 1600",15*12/26,"Plan 1400",10*12/26,"Plan 1200",5*12/26,"Plan 1000",1.5*12/26,"")</f>
        <v>6.9230769230769234</v>
      </c>
      <c r="E3" s="8" cm="1">
        <f t="array" ref="E3">_xlfn.SWITCH($C3,"Plan 1600",97*12/26,"Plan 1400",78*12/26,"Plan 1200",60*12/26,"Plan 1000",25*12/26,"")</f>
        <v>44.769230769230766</v>
      </c>
      <c r="F3" s="8" cm="1">
        <f t="array" ref="F3">_xlfn.SWITCH($C3,"Plan 1600",25*12/26,"Plan 1400",20*12/26,"Plan 1200",15*12/26,"Plan 1000",2*12/26,"")</f>
        <v>11.538461538461538</v>
      </c>
      <c r="H3">
        <f>VLOOKUP(A3,'12.16'!A:B,2,FALSE)</f>
        <v>-738.46</v>
      </c>
      <c r="I3" t="str" cm="1">
        <f t="array" ref="I3">_xlfn.IFS(
H3=-738.46,"Plan 1600",
H3=-646.15,"Plan 1400",
H3=-553.85,"Plan 1200",
H3=-461.54,"Plan 1000"
)</f>
        <v>Plan 1600</v>
      </c>
      <c r="J3" s="8" cm="1">
        <f t="array" ref="J3">_xlfn.SWITCH($I3,"Plan 1600",15*12/26,"Plan 1400",10*12/26,"Plan 1200",5*12/26,"Plan 1000",1.5*12/26,"")</f>
        <v>6.9230769230769234</v>
      </c>
      <c r="K3" s="8" cm="1">
        <f t="array" ref="K3">_xlfn.SWITCH($I3,"Plan 1600",97*12/26,"Plan 1400",78*12/26,"Plan 1200",60*12/26,"Plan 1000",25*12/26,"")</f>
        <v>44.769230769230766</v>
      </c>
      <c r="L3" s="8" cm="1">
        <f t="array" ref="L3">_xlfn.SWITCH($I3,"Plan 1600",25*12/26,"Plan 1400",20*12/26,"Plan 1200",15*12/26,"Plan 1000",2*12/26,"")</f>
        <v>11.538461538461538</v>
      </c>
      <c r="N3">
        <f>VLOOKUP(A3,'12.16'!A:B,2,FALSE)</f>
        <v>-738.46</v>
      </c>
      <c r="O3" t="str" cm="1">
        <f t="array" ref="O3">_xlfn.IFS(
N3=-738.46,"Plan 1600",
N3=-646.15,"Plan 1400",
N3=-553.85,"Plan 1200",
N3=-461.54,"Plan 1000"
)</f>
        <v>Plan 1600</v>
      </c>
      <c r="P3" s="8" cm="1">
        <f t="array" ref="P3">_xlfn.SWITCH($O3,"Plan 1600",15*12/26,"Plan 1400",10*12/26,"Plan 1200",5*12/26,"Plan 1000",1.5*12/26,"")</f>
        <v>6.9230769230769234</v>
      </c>
      <c r="Q3" s="8" cm="1">
        <f t="array" ref="Q3">_xlfn.SWITCH($O3,"Plan 1600",97*12/26,"Plan 1400",78*12/26,"Plan 1200",60*12/26,"Plan 1000",25*12/26,"")</f>
        <v>44.769230769230766</v>
      </c>
      <c r="R3" s="8" cm="1">
        <f t="array" ref="R3">_xlfn.SWITCH($O3,"Plan 1600",25*12/26,"Plan 1400",20*12/26,"Plan 1200",15*12/26,"Plan 1000",2*12/26,"")</f>
        <v>11.538461538461538</v>
      </c>
      <c r="W3" s="9">
        <f>D17+J17+P17</f>
        <v>91.615384615384642</v>
      </c>
      <c r="X3" s="9">
        <f t="shared" ref="X3:Y3" si="0">E17+K17+Q17</f>
        <v>905.07692307692332</v>
      </c>
      <c r="Y3" s="9">
        <f t="shared" si="0"/>
        <v>172.15384615384608</v>
      </c>
    </row>
    <row r="4" spans="1:27" x14ac:dyDescent="0.25">
      <c r="A4" s="11" t="s">
        <v>22</v>
      </c>
      <c r="B4">
        <f>VLOOKUP(A4,'12.2'!A:B,2,FALSE)</f>
        <v>-646.15</v>
      </c>
      <c r="C4" t="str" cm="1">
        <f t="array" ref="C4">_xlfn.IFS(
B4=-738.46,"Plan 1600",
B4=-646.15,"Plan 1400",
B4=-553.85,"Plan 1200",
B4=-461.54,"Plan 1000"
)</f>
        <v>Plan 1400</v>
      </c>
      <c r="D4" s="8" cm="1">
        <f t="array" ref="D4">_xlfn.SWITCH($C4,"Plan 1600",15*12/26,"Plan 1400",10*12/26,"Plan 1200",5*12/26,"Plan 1000",1.5*12/26,"")</f>
        <v>4.615384615384615</v>
      </c>
      <c r="E4" s="8" cm="1">
        <f t="array" ref="E4">_xlfn.SWITCH($C4,"Plan 1600",97*12/26,"Plan 1400",78*12/26,"Plan 1200",60*12/26,"Plan 1000",25*12/26,"")</f>
        <v>36</v>
      </c>
      <c r="F4" s="8" cm="1">
        <f t="array" ref="F4">_xlfn.SWITCH($C4,"Plan 1600",25*12/26,"Plan 1400",20*12/26,"Plan 1200",15*12/26,"Plan 1000",2*12/26,"")</f>
        <v>9.2307692307692299</v>
      </c>
      <c r="H4">
        <f>VLOOKUP(A4,'12.16'!A:B,2,FALSE)</f>
        <v>-553.85</v>
      </c>
      <c r="I4" t="str" cm="1">
        <f t="array" ref="I4">_xlfn.IFS(
H4=-738.46,"Plan 1600",
H4=-646.15,"Plan 1400",
H4=-553.85,"Plan 1200",
H4=-461.54,"Plan 1000"
)</f>
        <v>Plan 1200</v>
      </c>
      <c r="J4" s="8" cm="1">
        <f t="array" ref="J4">_xlfn.SWITCH($I4,"Plan 1600",15*12/26,"Plan 1400",10*12/26,"Plan 1200",5*12/26,"Plan 1000",1.5*12/26,"")</f>
        <v>2.3076923076923075</v>
      </c>
      <c r="K4" s="8" cm="1">
        <f t="array" ref="K4">_xlfn.SWITCH($I4,"Plan 1600",97*12/26,"Plan 1400",78*12/26,"Plan 1200",60*12/26,"Plan 1000",25*12/26,"")</f>
        <v>27.692307692307693</v>
      </c>
      <c r="L4" s="8" cm="1">
        <f t="array" ref="L4">_xlfn.SWITCH($I4,"Plan 1600",25*12/26,"Plan 1400",20*12/26,"Plan 1200",15*12/26,"Plan 1000",2*12/26,"")</f>
        <v>6.9230769230769234</v>
      </c>
      <c r="N4">
        <f>VLOOKUP(A4,'12.16'!A:B,2,FALSE)</f>
        <v>-553.85</v>
      </c>
      <c r="O4" t="str" cm="1">
        <f t="array" ref="O4">_xlfn.IFS(
N4=-738.46,"Plan 1600",
N4=-646.15,"Plan 1400",
N4=-553.85,"Plan 1200",
N4=-461.54,"Plan 1000"
)</f>
        <v>Plan 1200</v>
      </c>
      <c r="P4" s="8" cm="1">
        <f t="array" ref="P4">_xlfn.SWITCH($O4,"Plan 1600",15*12/26,"Plan 1400",10*12/26,"Plan 1200",5*12/26,"Plan 1000",1.5*12/26,"")</f>
        <v>2.3076923076923075</v>
      </c>
      <c r="Q4" s="8" cm="1">
        <f t="array" ref="Q4">_xlfn.SWITCH($O4,"Plan 1600",97*12/26,"Plan 1400",78*12/26,"Plan 1200",60*12/26,"Plan 1000",25*12/26,"")</f>
        <v>27.692307692307693</v>
      </c>
      <c r="R4" s="8" cm="1">
        <f t="array" ref="R4">_xlfn.SWITCH($O4,"Plan 1600",25*12/26,"Plan 1400",20*12/26,"Plan 1200",15*12/26,"Plan 1000",2*12/26,"")</f>
        <v>6.9230769230769234</v>
      </c>
    </row>
    <row r="5" spans="1:27" x14ac:dyDescent="0.25">
      <c r="A5" s="11" t="s">
        <v>15</v>
      </c>
      <c r="B5">
        <f>VLOOKUP(A5,'12.2'!A:B,2,FALSE)</f>
        <v>-553.85</v>
      </c>
      <c r="C5" t="str" cm="1">
        <f t="array" ref="C5">_xlfn.IFS(
B5=-738.46,"Plan 1600",
B5=-646.15,"Plan 1400",
B5=-553.85,"Plan 1200",
B5=-461.54,"Plan 1000"
)</f>
        <v>Plan 1200</v>
      </c>
      <c r="D5" s="8" cm="1">
        <f t="array" ref="D5">_xlfn.SWITCH($C5,"Plan 1600",15*12/26,"Plan 1400",10*12/26,"Plan 1200",5*12/26,"Plan 1000",1.5*12/26,"")</f>
        <v>2.3076923076923075</v>
      </c>
      <c r="E5" s="8" cm="1">
        <f t="array" ref="E5">_xlfn.SWITCH($C5,"Plan 1600",97*12/26,"Plan 1400",78*12/26,"Plan 1200",60*12/26,"Plan 1000",25*12/26,"")</f>
        <v>27.692307692307693</v>
      </c>
      <c r="F5" s="8" cm="1">
        <f t="array" ref="F5">_xlfn.SWITCH($C5,"Plan 1600",25*12/26,"Plan 1400",20*12/26,"Plan 1200",15*12/26,"Plan 1000",2*12/26,"")</f>
        <v>6.9230769230769234</v>
      </c>
      <c r="H5">
        <f>VLOOKUP(A5,'12.16'!A:B,2,FALSE)</f>
        <v>-461.54</v>
      </c>
      <c r="I5" t="str" cm="1">
        <f t="array" ref="I5">_xlfn.IFS(
H5=-738.46,"Plan 1600",
H5=-646.15,"Plan 1400",
H5=-553.85,"Plan 1200",
H5=-461.54,"Plan 1000"
)</f>
        <v>Plan 1000</v>
      </c>
      <c r="J5" s="8" cm="1">
        <f t="array" ref="J5">_xlfn.SWITCH($I5,"Plan 1600",15*12/26,"Plan 1400",10*12/26,"Plan 1200",5*12/26,"Plan 1000",1.5*12/26,"")</f>
        <v>0.69230769230769229</v>
      </c>
      <c r="K5" s="8" cm="1">
        <f t="array" ref="K5">_xlfn.SWITCH($I5,"Plan 1600",97*12/26,"Plan 1400",78*12/26,"Plan 1200",60*12/26,"Plan 1000",25*12/26,"")</f>
        <v>11.538461538461538</v>
      </c>
      <c r="L5" s="8" cm="1">
        <f t="array" ref="L5">_xlfn.SWITCH($I5,"Plan 1600",25*12/26,"Plan 1400",20*12/26,"Plan 1200",15*12/26,"Plan 1000",2*12/26,"")</f>
        <v>0.92307692307692313</v>
      </c>
      <c r="N5">
        <f>VLOOKUP(A5,'12.16'!A:B,2,FALSE)</f>
        <v>-461.54</v>
      </c>
      <c r="O5" t="str" cm="1">
        <f t="array" ref="O5">_xlfn.IFS(
N5=-738.46,"Plan 1600",
N5=-646.15,"Plan 1400",
N5=-553.85,"Plan 1200",
N5=-461.54,"Plan 1000"
)</f>
        <v>Plan 1000</v>
      </c>
      <c r="P5" s="8" cm="1">
        <f t="array" ref="P5">_xlfn.SWITCH($O5,"Plan 1600",15*12/26,"Plan 1400",10*12/26,"Plan 1200",5*12/26,"Plan 1000",1.5*12/26,"")</f>
        <v>0.69230769230769229</v>
      </c>
      <c r="Q5" s="8" cm="1">
        <f t="array" ref="Q5">_xlfn.SWITCH($O5,"Plan 1600",97*12/26,"Plan 1400",78*12/26,"Plan 1200",60*12/26,"Plan 1000",25*12/26,"")</f>
        <v>11.538461538461538</v>
      </c>
      <c r="R5" s="8" cm="1">
        <f t="array" ref="R5">_xlfn.SWITCH($O5,"Plan 1600",25*12/26,"Plan 1400",20*12/26,"Plan 1200",15*12/26,"Plan 1000",2*12/26,"")</f>
        <v>0.92307692307692313</v>
      </c>
      <c r="Y5" s="18" t="s">
        <v>42</v>
      </c>
      <c r="Z5" s="18" t="s">
        <v>43</v>
      </c>
    </row>
    <row r="6" spans="1:27" x14ac:dyDescent="0.25">
      <c r="A6" s="11" t="s">
        <v>8</v>
      </c>
      <c r="B6">
        <f>VLOOKUP(A6,'12.2'!A:B,2,FALSE)</f>
        <v>-461.54</v>
      </c>
      <c r="C6" t="str" cm="1">
        <f t="array" ref="C6">_xlfn.IFS(
B6=-738.46,"Plan 1600",
B6=-646.15,"Plan 1400",
B6=-553.85,"Plan 1200",
B6=-461.54,"Plan 1000"
)</f>
        <v>Plan 1000</v>
      </c>
      <c r="D6" s="8" cm="1">
        <f t="array" ref="D6">_xlfn.SWITCH($C6,"Plan 1600",15*12/26,"Plan 1400",10*12/26,"Plan 1200",5*12/26,"Plan 1000",1.5*12/26,"")</f>
        <v>0.69230769230769229</v>
      </c>
      <c r="E6" s="8" cm="1">
        <f t="array" ref="E6">_xlfn.SWITCH($C6,"Plan 1600",97*12/26,"Plan 1400",78*12/26,"Plan 1200",60*12/26,"Plan 1000",25*12/26,"")</f>
        <v>11.538461538461538</v>
      </c>
      <c r="F6" s="8" cm="1">
        <f t="array" ref="F6">_xlfn.SWITCH($C6,"Plan 1600",25*12/26,"Plan 1400",20*12/26,"Plan 1200",15*12/26,"Plan 1000",2*12/26,"")</f>
        <v>0.92307692307692313</v>
      </c>
      <c r="H6">
        <f>VLOOKUP(A6,'12.16'!A:B,2,FALSE)</f>
        <v>-461.54</v>
      </c>
      <c r="I6" t="str" cm="1">
        <f t="array" ref="I6">_xlfn.IFS(
H6=-738.46,"Plan 1600",
H6=-646.15,"Plan 1400",
H6=-553.85,"Plan 1200",
H6=-461.54,"Plan 1000"
)</f>
        <v>Plan 1000</v>
      </c>
      <c r="J6" s="8" cm="1">
        <f t="array" ref="J6">_xlfn.SWITCH($I6,"Plan 1600",15*12/26,"Plan 1400",10*12/26,"Plan 1200",5*12/26,"Plan 1000",1.5*12/26,"")</f>
        <v>0.69230769230769229</v>
      </c>
      <c r="K6" s="8" cm="1">
        <f t="array" ref="K6">_xlfn.SWITCH($I6,"Plan 1600",97*12/26,"Plan 1400",78*12/26,"Plan 1200",60*12/26,"Plan 1000",25*12/26,"")</f>
        <v>11.538461538461538</v>
      </c>
      <c r="L6" s="8" cm="1">
        <f t="array" ref="L6">_xlfn.SWITCH($I6,"Plan 1600",25*12/26,"Plan 1400",20*12/26,"Plan 1200",15*12/26,"Plan 1000",2*12/26,"")</f>
        <v>0.92307692307692313</v>
      </c>
      <c r="N6">
        <f>VLOOKUP(A6,'12.16'!A:B,2,FALSE)</f>
        <v>-461.54</v>
      </c>
      <c r="O6" t="str" cm="1">
        <f t="array" ref="O6">_xlfn.IFS(
N6=-738.46,"Plan 1600",
N6=-646.15,"Plan 1400",
N6=-553.85,"Plan 1200",
N6=-461.54,"Plan 1000"
)</f>
        <v>Plan 1000</v>
      </c>
      <c r="P6" s="8" cm="1">
        <f t="array" ref="P6">_xlfn.SWITCH($O6,"Plan 1600",15*12/26,"Plan 1400",10*12/26,"Plan 1200",5*12/26,"Plan 1000",1.5*12/26,"")</f>
        <v>0.69230769230769229</v>
      </c>
      <c r="Q6" s="8" cm="1">
        <f t="array" ref="Q6">_xlfn.SWITCH($O6,"Plan 1600",97*12/26,"Plan 1400",78*12/26,"Plan 1200",60*12/26,"Plan 1000",25*12/26,"")</f>
        <v>11.538461538461538</v>
      </c>
      <c r="R6" s="8" cm="1">
        <f t="array" ref="R6">_xlfn.SWITCH($O6,"Plan 1600",25*12/26,"Plan 1400",20*12/26,"Plan 1200",15*12/26,"Plan 1000",2*12/26,"")</f>
        <v>0.92307692307692313</v>
      </c>
      <c r="W6" s="17" t="s">
        <v>40</v>
      </c>
      <c r="X6" cm="1">
        <f t="array" ref="X6">SUMPRODUCT(--(
 (ISNUMBER(SEARCH("Plan 1000",C2:C47))+
  ISNUMBER(SEARCH("Plan 1000",I2:I47))+
  ISNUMBER(SEARCH("Plan 1000",O2:O47)))&gt;0
))</f>
        <v>12</v>
      </c>
      <c r="Y6" s="8">
        <f>X6*3.34</f>
        <v>40.08</v>
      </c>
      <c r="Z6" s="8">
        <f>X6*3.34</f>
        <v>40.08</v>
      </c>
    </row>
    <row r="7" spans="1:27" x14ac:dyDescent="0.25">
      <c r="A7" s="11" t="s">
        <v>9</v>
      </c>
      <c r="B7">
        <f>VLOOKUP(A7,'12.2'!A:B,2,FALSE)</f>
        <v>-461.54</v>
      </c>
      <c r="C7" t="str" cm="1">
        <f t="array" ref="C7">_xlfn.IFS(
B7=-738.46,"Plan 1600",
B7=-646.15,"Plan 1400",
B7=-553.85,"Plan 1200",
B7=-461.54,"Plan 1000"
)</f>
        <v>Plan 1000</v>
      </c>
      <c r="D7" s="8" cm="1">
        <f t="array" ref="D7">_xlfn.SWITCH($C7,"Plan 1600",15*12/26,"Plan 1400",10*12/26,"Plan 1200",5*12/26,"Plan 1000",1.5*12/26,"")</f>
        <v>0.69230769230769229</v>
      </c>
      <c r="E7" s="8" cm="1">
        <f t="array" ref="E7">_xlfn.SWITCH($C7,"Plan 1600",97*12/26,"Plan 1400",78*12/26,"Plan 1200",60*12/26,"Plan 1000",25*12/26,"")</f>
        <v>11.538461538461538</v>
      </c>
      <c r="F7" s="8" cm="1">
        <f t="array" ref="F7">_xlfn.SWITCH($C7,"Plan 1600",25*12/26,"Plan 1400",20*12/26,"Plan 1200",15*12/26,"Plan 1000",2*12/26,"")</f>
        <v>0.92307692307692313</v>
      </c>
      <c r="H7">
        <f>VLOOKUP(A7,'12.16'!A:B,2,FALSE)</f>
        <v>-553.85</v>
      </c>
      <c r="I7" t="str" cm="1">
        <f t="array" ref="I7">_xlfn.IFS(
H7=-738.46,"Plan 1600",
H7=-646.15,"Plan 1400",
H7=-553.85,"Plan 1200",
H7=-461.54,"Plan 1000"
)</f>
        <v>Plan 1200</v>
      </c>
      <c r="J7" s="8" cm="1">
        <f t="array" ref="J7">_xlfn.SWITCH($I7,"Plan 1600",15*12/26,"Plan 1400",10*12/26,"Plan 1200",5*12/26,"Plan 1000",1.5*12/26,"")</f>
        <v>2.3076923076923075</v>
      </c>
      <c r="K7" s="8" cm="1">
        <f t="array" ref="K7">_xlfn.SWITCH($I7,"Plan 1600",97*12/26,"Plan 1400",78*12/26,"Plan 1200",60*12/26,"Plan 1000",25*12/26,"")</f>
        <v>27.692307692307693</v>
      </c>
      <c r="L7" s="8" cm="1">
        <f t="array" ref="L7">_xlfn.SWITCH($I7,"Plan 1600",25*12/26,"Plan 1400",20*12/26,"Plan 1200",15*12/26,"Plan 1000",2*12/26,"")</f>
        <v>6.9230769230769234</v>
      </c>
      <c r="N7">
        <f>VLOOKUP(A7,'12.16'!A:B,2,FALSE)</f>
        <v>-553.85</v>
      </c>
      <c r="O7" t="str" cm="1">
        <f t="array" ref="O7">_xlfn.IFS(
N7=-738.46,"Plan 1600",
N7=-646.15,"Plan 1400",
N7=-553.85,"Plan 1200",
N7=-461.54,"Plan 1000"
)</f>
        <v>Plan 1200</v>
      </c>
      <c r="P7" s="8" cm="1">
        <f t="array" ref="P7">_xlfn.SWITCH($O7,"Plan 1600",15*12/26,"Plan 1400",10*12/26,"Plan 1200",5*12/26,"Plan 1000",1.5*12/26,"")</f>
        <v>2.3076923076923075</v>
      </c>
      <c r="Q7" s="8" cm="1">
        <f t="array" ref="Q7">_xlfn.SWITCH($O7,"Plan 1600",97*12/26,"Plan 1400",78*12/26,"Plan 1200",60*12/26,"Plan 1000",25*12/26,"")</f>
        <v>27.692307692307693</v>
      </c>
      <c r="R7" s="8" cm="1">
        <f t="array" ref="R7">_xlfn.SWITCH($O7,"Plan 1600",25*12/26,"Plan 1400",20*12/26,"Plan 1200",15*12/26,"Plan 1000",2*12/26,"")</f>
        <v>6.9230769230769234</v>
      </c>
      <c r="W7" s="17" t="s">
        <v>41</v>
      </c>
      <c r="X7" cm="1">
        <f t="array" ref="X7">SUMPRODUCT(--(
 (ISNUMBER(SEARCH("Plan 1000",C2:C47))+ISNUMBER(SEARCH("Plan 1000",I2:I47))+ISNUMBER(SEARCH("Plan 1000",O2:O47))=0)*
 (ISNUMBER(SEARCH("Plan 1200",C2:C47))+ISNUMBER(SEARCH("Plan 1400",C2:C47))+ISNUMBER(SEARCH("Plan 1600",C2:C47))&gt;0)*
 (ISNUMBER(SEARCH("Plan 1200",I2:I47))+ISNUMBER(SEARCH("Plan 1400",I2:I47))+ISNUMBER(SEARCH("Plan 1600",I2:I47))&gt;0)*
 (ISNUMBER(SEARCH("Plan 1200",O2:O47))+ISNUMBER(SEARCH("Plan 1400",O2:O47))+ISNUMBER(SEARCH("Plan 1600",O2:O47))&gt;0)
))</f>
        <v>3</v>
      </c>
      <c r="Y7" s="8">
        <f>X7*5</f>
        <v>15</v>
      </c>
      <c r="Z7" s="8">
        <f>X7*5</f>
        <v>15</v>
      </c>
    </row>
    <row r="8" spans="1:27" x14ac:dyDescent="0.25">
      <c r="A8" s="11" t="s">
        <v>10</v>
      </c>
      <c r="B8">
        <f>VLOOKUP(A8,'12.2'!A:B,2,FALSE)</f>
        <v>-461.54</v>
      </c>
      <c r="C8" t="str" cm="1">
        <f t="array" ref="C8">_xlfn.IFS(
B8=-738.46,"Plan 1600",
B8=-646.15,"Plan 1400",
B8=-553.85,"Plan 1200",
B8=-461.54,"Plan 1000"
)</f>
        <v>Plan 1000</v>
      </c>
      <c r="D8" s="8" cm="1">
        <f t="array" ref="D8">_xlfn.SWITCH($C8,"Plan 1600",15*12/26,"Plan 1400",10*12/26,"Plan 1200",5*12/26,"Plan 1000",1.5*12/26,"")</f>
        <v>0.69230769230769229</v>
      </c>
      <c r="E8" s="8" cm="1">
        <f t="array" ref="E8">_xlfn.SWITCH($C8,"Plan 1600",97*12/26,"Plan 1400",78*12/26,"Plan 1200",60*12/26,"Plan 1000",25*12/26,"")</f>
        <v>11.538461538461538</v>
      </c>
      <c r="F8" s="8" cm="1">
        <f t="array" ref="F8">_xlfn.SWITCH($C8,"Plan 1600",25*12/26,"Plan 1400",20*12/26,"Plan 1200",15*12/26,"Plan 1000",2*12/26,"")</f>
        <v>0.92307692307692313</v>
      </c>
      <c r="H8">
        <f>VLOOKUP(A8,'12.16'!A:B,2,FALSE)</f>
        <v>-461.54</v>
      </c>
      <c r="I8" t="str" cm="1">
        <f t="array" ref="I8">_xlfn.IFS(
H8=-738.46,"Plan 1600",
H8=-646.15,"Plan 1400",
H8=-553.85,"Plan 1200",
H8=-461.54,"Plan 1000"
)</f>
        <v>Plan 1000</v>
      </c>
      <c r="J8" s="8" cm="1">
        <f t="array" ref="J8">_xlfn.SWITCH($I8,"Plan 1600",15*12/26,"Plan 1400",10*12/26,"Plan 1200",5*12/26,"Plan 1000",1.5*12/26,"")</f>
        <v>0.69230769230769229</v>
      </c>
      <c r="K8" s="8" cm="1">
        <f t="array" ref="K8">_xlfn.SWITCH($I8,"Plan 1600",97*12/26,"Plan 1400",78*12/26,"Plan 1200",60*12/26,"Plan 1000",25*12/26,"")</f>
        <v>11.538461538461538</v>
      </c>
      <c r="L8" s="8" cm="1">
        <f t="array" ref="L8">_xlfn.SWITCH($I8,"Plan 1600",25*12/26,"Plan 1400",20*12/26,"Plan 1200",15*12/26,"Plan 1000",2*12/26,"")</f>
        <v>0.92307692307692313</v>
      </c>
      <c r="N8">
        <f>VLOOKUP(A8,'12.16'!A:B,2,FALSE)</f>
        <v>-461.54</v>
      </c>
      <c r="O8" t="str" cm="1">
        <f t="array" ref="O8">_xlfn.IFS(
N8=-738.46,"Plan 1600",
N8=-646.15,"Plan 1400",
N8=-553.85,"Plan 1200",
N8=-461.54,"Plan 1000"
)</f>
        <v>Plan 1000</v>
      </c>
      <c r="P8" s="8" cm="1">
        <f t="array" ref="P8">_xlfn.SWITCH($O8,"Plan 1600",15*12/26,"Plan 1400",10*12/26,"Plan 1200",5*12/26,"Plan 1000",1.5*12/26,"")</f>
        <v>0.69230769230769229</v>
      </c>
      <c r="Q8" s="8" cm="1">
        <f t="array" ref="Q8">_xlfn.SWITCH($O8,"Plan 1600",97*12/26,"Plan 1400",78*12/26,"Plan 1200",60*12/26,"Plan 1000",25*12/26,"")</f>
        <v>11.538461538461538</v>
      </c>
      <c r="R8" s="8" cm="1">
        <f t="array" ref="R8">_xlfn.SWITCH($O8,"Plan 1600",25*12/26,"Plan 1400",20*12/26,"Plan 1200",15*12/26,"Plan 1000",2*12/26,"")</f>
        <v>0.92307692307692313</v>
      </c>
      <c r="Y8" s="9">
        <f>SUM(Y6:Y7)</f>
        <v>55.08</v>
      </c>
      <c r="Z8" s="9">
        <f>SUM(Z6:Z7)</f>
        <v>55.08</v>
      </c>
      <c r="AA8" s="9">
        <f>SUM(Y8:Z8)</f>
        <v>110.16</v>
      </c>
    </row>
    <row r="9" spans="1:27" x14ac:dyDescent="0.25">
      <c r="A9" s="11" t="s">
        <v>19</v>
      </c>
      <c r="B9">
        <f>VLOOKUP(A9,'12.2'!A:B,2,FALSE)</f>
        <v>-461.54</v>
      </c>
      <c r="C9" t="str" cm="1">
        <f t="array" ref="C9">_xlfn.IFS(
B9=-738.46,"Plan 1600",
B9=-646.15,"Plan 1400",
B9=-553.85,"Plan 1200",
B9=-461.54,"Plan 1000"
)</f>
        <v>Plan 1000</v>
      </c>
      <c r="D9" s="8" cm="1">
        <f t="array" ref="D9">_xlfn.SWITCH($C9,"Plan 1600",15*12/26,"Plan 1400",10*12/26,"Plan 1200",5*12/26,"Plan 1000",1.5*12/26,"")</f>
        <v>0.69230769230769229</v>
      </c>
      <c r="E9" s="8" cm="1">
        <f t="array" ref="E9">_xlfn.SWITCH($C9,"Plan 1600",97*12/26,"Plan 1400",78*12/26,"Plan 1200",60*12/26,"Plan 1000",25*12/26,"")</f>
        <v>11.538461538461538</v>
      </c>
      <c r="F9" s="8" cm="1">
        <f t="array" ref="F9">_xlfn.SWITCH($C9,"Plan 1600",25*12/26,"Plan 1400",20*12/26,"Plan 1200",15*12/26,"Plan 1000",2*12/26,"")</f>
        <v>0.92307692307692313</v>
      </c>
      <c r="H9">
        <f>VLOOKUP(A9,'12.16'!A:B,2,FALSE)</f>
        <v>-461.54</v>
      </c>
      <c r="I9" t="str" cm="1">
        <f t="array" ref="I9">_xlfn.IFS(
H9=-738.46,"Plan 1600",
H9=-646.15,"Plan 1400",
H9=-553.85,"Plan 1200",
H9=-461.54,"Plan 1000"
)</f>
        <v>Plan 1000</v>
      </c>
      <c r="J9" s="8" cm="1">
        <f t="array" ref="J9">_xlfn.SWITCH($I9,"Plan 1600",15*12/26,"Plan 1400",10*12/26,"Plan 1200",5*12/26,"Plan 1000",1.5*12/26,"")</f>
        <v>0.69230769230769229</v>
      </c>
      <c r="K9" s="8" cm="1">
        <f t="array" ref="K9">_xlfn.SWITCH($I9,"Plan 1600",97*12/26,"Plan 1400",78*12/26,"Plan 1200",60*12/26,"Plan 1000",25*12/26,"")</f>
        <v>11.538461538461538</v>
      </c>
      <c r="L9" s="8" cm="1">
        <f t="array" ref="L9">_xlfn.SWITCH($I9,"Plan 1600",25*12/26,"Plan 1400",20*12/26,"Plan 1200",15*12/26,"Plan 1000",2*12/26,"")</f>
        <v>0.92307692307692313</v>
      </c>
      <c r="N9">
        <f>VLOOKUP(A9,'12.16'!A:B,2,FALSE)</f>
        <v>-461.54</v>
      </c>
      <c r="O9" t="str" cm="1">
        <f t="array" ref="O9">_xlfn.IFS(
N9=-738.46,"Plan 1600",
N9=-646.15,"Plan 1400",
N9=-553.85,"Plan 1200",
N9=-461.54,"Plan 1000"
)</f>
        <v>Plan 1000</v>
      </c>
      <c r="P9" s="8" cm="1">
        <f t="array" ref="P9">_xlfn.SWITCH($O9,"Plan 1600",15*12/26,"Plan 1400",10*12/26,"Plan 1200",5*12/26,"Plan 1000",1.5*12/26,"")</f>
        <v>0.69230769230769229</v>
      </c>
      <c r="Q9" s="8" cm="1">
        <f t="array" ref="Q9">_xlfn.SWITCH($O9,"Plan 1600",97*12/26,"Plan 1400",78*12/26,"Plan 1200",60*12/26,"Plan 1000",25*12/26,"")</f>
        <v>11.538461538461538</v>
      </c>
      <c r="R9" s="8" cm="1">
        <f t="array" ref="R9">_xlfn.SWITCH($O9,"Plan 1600",25*12/26,"Plan 1400",20*12/26,"Plan 1200",15*12/26,"Plan 1000",2*12/26,"")</f>
        <v>0.92307692307692313</v>
      </c>
    </row>
    <row r="10" spans="1:27" x14ac:dyDescent="0.25">
      <c r="A10" s="11" t="s">
        <v>23</v>
      </c>
      <c r="B10">
        <f>VLOOKUP(A10,'12.2'!A:B,2,FALSE)</f>
        <v>-461.54</v>
      </c>
      <c r="C10" t="str" cm="1">
        <f t="array" ref="C10">_xlfn.IFS(
B10=-738.46,"Plan 1600",
B10=-646.15,"Plan 1400",
B10=-553.85,"Plan 1200",
B10=-461.54,"Plan 1000"
)</f>
        <v>Plan 1000</v>
      </c>
      <c r="D10" s="8" cm="1">
        <f t="array" ref="D10">_xlfn.SWITCH($C10,"Plan 1600",15*12/26,"Plan 1400",10*12/26,"Plan 1200",5*12/26,"Plan 1000",1.5*12/26,"")</f>
        <v>0.69230769230769229</v>
      </c>
      <c r="E10" s="8" cm="1">
        <f t="array" ref="E10">_xlfn.SWITCH($C10,"Plan 1600",97*12/26,"Plan 1400",78*12/26,"Plan 1200",60*12/26,"Plan 1000",25*12/26,"")</f>
        <v>11.538461538461538</v>
      </c>
      <c r="F10" s="8" cm="1">
        <f t="array" ref="F10">_xlfn.SWITCH($C10,"Plan 1600",25*12/26,"Plan 1400",20*12/26,"Plan 1200",15*12/26,"Plan 1000",2*12/26,"")</f>
        <v>0.92307692307692313</v>
      </c>
      <c r="H10">
        <f>VLOOKUP(A10,'12.16'!A:B,2,FALSE)</f>
        <v>-461.54</v>
      </c>
      <c r="I10" t="str" cm="1">
        <f t="array" ref="I10">_xlfn.IFS(
H10=-738.46,"Plan 1600",
H10=-646.15,"Plan 1400",
H10=-553.85,"Plan 1200",
H10=-461.54,"Plan 1000"
)</f>
        <v>Plan 1000</v>
      </c>
      <c r="J10" s="8" cm="1">
        <f t="array" ref="J10">_xlfn.SWITCH($I10,"Plan 1600",15*12/26,"Plan 1400",10*12/26,"Plan 1200",5*12/26,"Plan 1000",1.5*12/26,"")</f>
        <v>0.69230769230769229</v>
      </c>
      <c r="K10" s="8" cm="1">
        <f t="array" ref="K10">_xlfn.SWITCH($I10,"Plan 1600",97*12/26,"Plan 1400",78*12/26,"Plan 1200",60*12/26,"Plan 1000",25*12/26,"")</f>
        <v>11.538461538461538</v>
      </c>
      <c r="L10" s="8" cm="1">
        <f t="array" ref="L10">_xlfn.SWITCH($I10,"Plan 1600",25*12/26,"Plan 1400",20*12/26,"Plan 1200",15*12/26,"Plan 1000",2*12/26,"")</f>
        <v>0.92307692307692313</v>
      </c>
      <c r="N10">
        <f>VLOOKUP(A10,'12.16'!A:B,2,FALSE)</f>
        <v>-461.54</v>
      </c>
      <c r="O10" t="str" cm="1">
        <f t="array" ref="O10">_xlfn.IFS(
N10=-738.46,"Plan 1600",
N10=-646.15,"Plan 1400",
N10=-553.85,"Plan 1200",
N10=-461.54,"Plan 1000"
)</f>
        <v>Plan 1000</v>
      </c>
      <c r="P10" s="8" cm="1">
        <f t="array" ref="P10">_xlfn.SWITCH($O10,"Plan 1600",15*12/26,"Plan 1400",10*12/26,"Plan 1200",5*12/26,"Plan 1000",1.5*12/26,"")</f>
        <v>0.69230769230769229</v>
      </c>
      <c r="Q10" s="8" cm="1">
        <f t="array" ref="Q10">_xlfn.SWITCH($O10,"Plan 1600",97*12/26,"Plan 1400",78*12/26,"Plan 1200",60*12/26,"Plan 1000",25*12/26,"")</f>
        <v>11.538461538461538</v>
      </c>
      <c r="R10" s="8" cm="1">
        <f t="array" ref="R10">_xlfn.SWITCH($O10,"Plan 1600",25*12/26,"Plan 1400",20*12/26,"Plan 1200",15*12/26,"Plan 1000",2*12/26,"")</f>
        <v>0.92307692307692313</v>
      </c>
    </row>
    <row r="11" spans="1:27" x14ac:dyDescent="0.25">
      <c r="A11" s="11" t="s">
        <v>24</v>
      </c>
      <c r="B11">
        <f>VLOOKUP(A11,'12.2'!A:B,2,FALSE)</f>
        <v>-461.54</v>
      </c>
      <c r="C11" t="str" cm="1">
        <f t="array" ref="C11">_xlfn.IFS(
B11=-738.46,"Plan 1600",
B11=-646.15,"Plan 1400",
B11=-553.85,"Plan 1200",
B11=-461.54,"Plan 1000"
)</f>
        <v>Plan 1000</v>
      </c>
      <c r="D11" s="8" cm="1">
        <f t="array" ref="D11">_xlfn.SWITCH($C11,"Plan 1600",15*12/26,"Plan 1400",10*12/26,"Plan 1200",5*12/26,"Plan 1000",1.5*12/26,"")</f>
        <v>0.69230769230769229</v>
      </c>
      <c r="E11" s="8" cm="1">
        <f t="array" ref="E11">_xlfn.SWITCH($C11,"Plan 1600",97*12/26,"Plan 1400",78*12/26,"Plan 1200",60*12/26,"Plan 1000",25*12/26,"")</f>
        <v>11.538461538461538</v>
      </c>
      <c r="F11" s="8" cm="1">
        <f t="array" ref="F11">_xlfn.SWITCH($C11,"Plan 1600",25*12/26,"Plan 1400",20*12/26,"Plan 1200",15*12/26,"Plan 1000",2*12/26,"")</f>
        <v>0.92307692307692313</v>
      </c>
      <c r="H11">
        <f>VLOOKUP(A11,'12.16'!A:B,2,FALSE)</f>
        <v>-461.54</v>
      </c>
      <c r="I11" t="str" cm="1">
        <f t="array" ref="I11">_xlfn.IFS(
H11=-738.46,"Plan 1600",
H11=-646.15,"Plan 1400",
H11=-553.85,"Plan 1200",
H11=-461.54,"Plan 1000"
)</f>
        <v>Plan 1000</v>
      </c>
      <c r="J11" s="8" cm="1">
        <f t="array" ref="J11">_xlfn.SWITCH($I11,"Plan 1600",15*12/26,"Plan 1400",10*12/26,"Plan 1200",5*12/26,"Plan 1000",1.5*12/26,"")</f>
        <v>0.69230769230769229</v>
      </c>
      <c r="K11" s="8" cm="1">
        <f t="array" ref="K11">_xlfn.SWITCH($I11,"Plan 1600",97*12/26,"Plan 1400",78*12/26,"Plan 1200",60*12/26,"Plan 1000",25*12/26,"")</f>
        <v>11.538461538461538</v>
      </c>
      <c r="L11" s="8" cm="1">
        <f t="array" ref="L11">_xlfn.SWITCH($I11,"Plan 1600",25*12/26,"Plan 1400",20*12/26,"Plan 1200",15*12/26,"Plan 1000",2*12/26,"")</f>
        <v>0.92307692307692313</v>
      </c>
      <c r="N11">
        <f>VLOOKUP(A11,'12.16'!A:B,2,FALSE)</f>
        <v>-461.54</v>
      </c>
      <c r="O11" t="str" cm="1">
        <f t="array" ref="O11">_xlfn.IFS(
N11=-738.46,"Plan 1600",
N11=-646.15,"Plan 1400",
N11=-553.85,"Plan 1200",
N11=-461.54,"Plan 1000"
)</f>
        <v>Plan 1000</v>
      </c>
      <c r="P11" s="8" cm="1">
        <f t="array" ref="P11">_xlfn.SWITCH($O11,"Plan 1600",15*12/26,"Plan 1400",10*12/26,"Plan 1200",5*12/26,"Plan 1000",1.5*12/26,"")</f>
        <v>0.69230769230769229</v>
      </c>
      <c r="Q11" s="8" cm="1">
        <f t="array" ref="Q11">_xlfn.SWITCH($O11,"Plan 1600",97*12/26,"Plan 1400",78*12/26,"Plan 1200",60*12/26,"Plan 1000",25*12/26,"")</f>
        <v>11.538461538461538</v>
      </c>
      <c r="R11" s="8" cm="1">
        <f t="array" ref="R11">_xlfn.SWITCH($O11,"Plan 1600",25*12/26,"Plan 1400",20*12/26,"Plan 1200",15*12/26,"Plan 1000",2*12/26,"")</f>
        <v>0.92307692307692313</v>
      </c>
    </row>
    <row r="12" spans="1:27" x14ac:dyDescent="0.25">
      <c r="A12" s="11" t="s">
        <v>25</v>
      </c>
      <c r="B12">
        <f>VLOOKUP(A12,'12.2'!A:B,2,FALSE)</f>
        <v>-461.54</v>
      </c>
      <c r="C12" t="str" cm="1">
        <f t="array" ref="C12">_xlfn.IFS(
B12=-738.46,"Plan 1600",
B12=-646.15,"Plan 1400",
B12=-553.85,"Plan 1200",
B12=-461.54,"Plan 1000"
)</f>
        <v>Plan 1000</v>
      </c>
      <c r="D12" s="8" cm="1">
        <f t="array" ref="D12">_xlfn.SWITCH($C12,"Plan 1600",15*12/26,"Plan 1400",10*12/26,"Plan 1200",5*12/26,"Plan 1000",1.5*12/26,"")</f>
        <v>0.69230769230769229</v>
      </c>
      <c r="E12" s="8" cm="1">
        <f t="array" ref="E12">_xlfn.SWITCH($C12,"Plan 1600",97*12/26,"Plan 1400",78*12/26,"Plan 1200",60*12/26,"Plan 1000",25*12/26,"")</f>
        <v>11.538461538461538</v>
      </c>
      <c r="F12" s="8" cm="1">
        <f t="array" ref="F12">_xlfn.SWITCH($C12,"Plan 1600",25*12/26,"Plan 1400",20*12/26,"Plan 1200",15*12/26,"Plan 1000",2*12/26,"")</f>
        <v>0.92307692307692313</v>
      </c>
      <c r="H12">
        <f>VLOOKUP(A12,'12.16'!A:B,2,FALSE)</f>
        <v>-461.54</v>
      </c>
      <c r="I12" t="str" cm="1">
        <f t="array" ref="I12">_xlfn.IFS(
H12=-738.46,"Plan 1600",
H12=-646.15,"Plan 1400",
H12=-553.85,"Plan 1200",
H12=-461.54,"Plan 1000"
)</f>
        <v>Plan 1000</v>
      </c>
      <c r="J12" s="8" cm="1">
        <f t="array" ref="J12">_xlfn.SWITCH($I12,"Plan 1600",15*12/26,"Plan 1400",10*12/26,"Plan 1200",5*12/26,"Plan 1000",1.5*12/26,"")</f>
        <v>0.69230769230769229</v>
      </c>
      <c r="K12" s="8" cm="1">
        <f t="array" ref="K12">_xlfn.SWITCH($I12,"Plan 1600",97*12/26,"Plan 1400",78*12/26,"Plan 1200",60*12/26,"Plan 1000",25*12/26,"")</f>
        <v>11.538461538461538</v>
      </c>
      <c r="L12" s="8" cm="1">
        <f t="array" ref="L12">_xlfn.SWITCH($I12,"Plan 1600",25*12/26,"Plan 1400",20*12/26,"Plan 1200",15*12/26,"Plan 1000",2*12/26,"")</f>
        <v>0.92307692307692313</v>
      </c>
      <c r="N12">
        <f>VLOOKUP(A12,'12.16'!A:B,2,FALSE)</f>
        <v>-461.54</v>
      </c>
      <c r="O12" t="str" cm="1">
        <f t="array" ref="O12">_xlfn.IFS(
N12=-738.46,"Plan 1600",
N12=-646.15,"Plan 1400",
N12=-553.85,"Plan 1200",
N12=-461.54,"Plan 1000"
)</f>
        <v>Plan 1000</v>
      </c>
      <c r="P12" s="8" cm="1">
        <f t="array" ref="P12">_xlfn.SWITCH($O12,"Plan 1600",15*12/26,"Plan 1400",10*12/26,"Plan 1200",5*12/26,"Plan 1000",1.5*12/26,"")</f>
        <v>0.69230769230769229</v>
      </c>
      <c r="Q12" s="8" cm="1">
        <f t="array" ref="Q12">_xlfn.SWITCH($O12,"Plan 1600",97*12/26,"Plan 1400",78*12/26,"Plan 1200",60*12/26,"Plan 1000",25*12/26,"")</f>
        <v>11.538461538461538</v>
      </c>
      <c r="R12" s="8" cm="1">
        <f t="array" ref="R12">_xlfn.SWITCH($O12,"Plan 1600",25*12/26,"Plan 1400",20*12/26,"Plan 1200",15*12/26,"Plan 1000",2*12/26,"")</f>
        <v>0.92307692307692313</v>
      </c>
    </row>
    <row r="13" spans="1:27" x14ac:dyDescent="0.25">
      <c r="A13" s="11" t="s">
        <v>27</v>
      </c>
      <c r="B13">
        <f>VLOOKUP(A13,'12.2'!A:B,2,FALSE)</f>
        <v>-461.54</v>
      </c>
      <c r="C13" t="str" cm="1">
        <f t="array" ref="C13">_xlfn.IFS(
B13=-738.46,"Plan 1600",
B13=-646.15,"Plan 1400",
B13=-553.85,"Plan 1200",
B13=-461.54,"Plan 1000"
)</f>
        <v>Plan 1000</v>
      </c>
      <c r="D13" s="8" cm="1">
        <f t="array" ref="D13">_xlfn.SWITCH($C13,"Plan 1600",15*12/26,"Plan 1400",10*12/26,"Plan 1200",5*12/26,"Plan 1000",1.5*12/26,"")</f>
        <v>0.69230769230769229</v>
      </c>
      <c r="E13" s="8" cm="1">
        <f t="array" ref="E13">_xlfn.SWITCH($C13,"Plan 1600",97*12/26,"Plan 1400",78*12/26,"Plan 1200",60*12/26,"Plan 1000",25*12/26,"")</f>
        <v>11.538461538461538</v>
      </c>
      <c r="F13" s="8" cm="1">
        <f t="array" ref="F13">_xlfn.SWITCH($C13,"Plan 1600",25*12/26,"Plan 1400",20*12/26,"Plan 1200",15*12/26,"Plan 1000",2*12/26,"")</f>
        <v>0.92307692307692313</v>
      </c>
      <c r="H13">
        <f>VLOOKUP(A13,'12.16'!A:B,2,FALSE)</f>
        <v>-461.54</v>
      </c>
      <c r="I13" t="str" cm="1">
        <f t="array" ref="I13">_xlfn.IFS(
H13=-738.46,"Plan 1600",
H13=-646.15,"Plan 1400",
H13=-553.85,"Plan 1200",
H13=-461.54,"Plan 1000"
)</f>
        <v>Plan 1000</v>
      </c>
      <c r="J13" s="8" cm="1">
        <f t="array" ref="J13">_xlfn.SWITCH($I13,"Plan 1600",15*12/26,"Plan 1400",10*12/26,"Plan 1200",5*12/26,"Plan 1000",1.5*12/26,"")</f>
        <v>0.69230769230769229</v>
      </c>
      <c r="K13" s="8" cm="1">
        <f t="array" ref="K13">_xlfn.SWITCH($I13,"Plan 1600",97*12/26,"Plan 1400",78*12/26,"Plan 1200",60*12/26,"Plan 1000",25*12/26,"")</f>
        <v>11.538461538461538</v>
      </c>
      <c r="L13" s="8" cm="1">
        <f t="array" ref="L13">_xlfn.SWITCH($I13,"Plan 1600",25*12/26,"Plan 1400",20*12/26,"Plan 1200",15*12/26,"Plan 1000",2*12/26,"")</f>
        <v>0.92307692307692313</v>
      </c>
      <c r="N13">
        <f>VLOOKUP(A13,'12.16'!A:B,2,FALSE)</f>
        <v>-461.54</v>
      </c>
      <c r="O13" t="str" cm="1">
        <f t="array" ref="O13">_xlfn.IFS(
N13=-738.46,"Plan 1600",
N13=-646.15,"Plan 1400",
N13=-553.85,"Plan 1200",
N13=-461.54,"Plan 1000"
)</f>
        <v>Plan 1000</v>
      </c>
      <c r="P13" s="8" cm="1">
        <f t="array" ref="P13">_xlfn.SWITCH($O13,"Plan 1600",15*12/26,"Plan 1400",10*12/26,"Plan 1200",5*12/26,"Plan 1000",1.5*12/26,"")</f>
        <v>0.69230769230769229</v>
      </c>
      <c r="Q13" s="8" cm="1">
        <f t="array" ref="Q13">_xlfn.SWITCH($O13,"Plan 1600",97*12/26,"Plan 1400",78*12/26,"Plan 1200",60*12/26,"Plan 1000",25*12/26,"")</f>
        <v>11.538461538461538</v>
      </c>
      <c r="R13" s="8" cm="1">
        <f t="array" ref="R13">_xlfn.SWITCH($O13,"Plan 1600",25*12/26,"Plan 1400",20*12/26,"Plan 1200",15*12/26,"Plan 1000",2*12/26,"")</f>
        <v>0.92307692307692313</v>
      </c>
    </row>
    <row r="14" spans="1:27" x14ac:dyDescent="0.25">
      <c r="A14" s="11" t="s">
        <v>28</v>
      </c>
      <c r="B14">
        <f>VLOOKUP(A14,'12.2'!A:B,2,FALSE)</f>
        <v>-461.54</v>
      </c>
      <c r="C14" t="str" cm="1">
        <f t="array" ref="C14">_xlfn.IFS(
B14=-738.46,"Plan 1600",
B14=-646.15,"Plan 1400",
B14=-553.85,"Plan 1200",
B14=-461.54,"Plan 1000"
)</f>
        <v>Plan 1000</v>
      </c>
      <c r="D14" s="8" cm="1">
        <f t="array" ref="D14">_xlfn.SWITCH($C14,"Plan 1600",15*12/26,"Plan 1400",10*12/26,"Plan 1200",5*12/26,"Plan 1000",1.5*12/26,"")</f>
        <v>0.69230769230769229</v>
      </c>
      <c r="E14" s="8" cm="1">
        <f t="array" ref="E14">_xlfn.SWITCH($C14,"Plan 1600",97*12/26,"Plan 1400",78*12/26,"Plan 1200",60*12/26,"Plan 1000",25*12/26,"")</f>
        <v>11.538461538461538</v>
      </c>
      <c r="F14" s="8" cm="1">
        <f t="array" ref="F14">_xlfn.SWITCH($C14,"Plan 1600",25*12/26,"Plan 1400",20*12/26,"Plan 1200",15*12/26,"Plan 1000",2*12/26,"")</f>
        <v>0.92307692307692313</v>
      </c>
      <c r="H14">
        <f>VLOOKUP(A14,'12.16'!A:B,2,FALSE)</f>
        <v>-646.15</v>
      </c>
      <c r="I14" t="str" cm="1">
        <f t="array" ref="I14">_xlfn.IFS(
H14=-738.46,"Plan 1600",
H14=-646.15,"Plan 1400",
H14=-553.85,"Plan 1200",
H14=-461.54,"Plan 1000"
)</f>
        <v>Plan 1400</v>
      </c>
      <c r="J14" s="8" cm="1">
        <f t="array" ref="J14">_xlfn.SWITCH($I14,"Plan 1600",15*12/26,"Plan 1400",10*12/26,"Plan 1200",5*12/26,"Plan 1000",1.5*12/26,"")</f>
        <v>4.615384615384615</v>
      </c>
      <c r="K14" s="8" cm="1">
        <f t="array" ref="K14">_xlfn.SWITCH($I14,"Plan 1600",97*12/26,"Plan 1400",78*12/26,"Plan 1200",60*12/26,"Plan 1000",25*12/26,"")</f>
        <v>36</v>
      </c>
      <c r="L14" s="8" cm="1">
        <f t="array" ref="L14">_xlfn.SWITCH($I14,"Plan 1600",25*12/26,"Plan 1400",20*12/26,"Plan 1200",15*12/26,"Plan 1000",2*12/26,"")</f>
        <v>9.2307692307692299</v>
      </c>
      <c r="N14">
        <f>VLOOKUP(A14,'12.16'!A:B,2,FALSE)</f>
        <v>-646.15</v>
      </c>
      <c r="O14" t="str" cm="1">
        <f t="array" ref="O14">_xlfn.IFS(
N14=-738.46,"Plan 1600",
N14=-646.15,"Plan 1400",
N14=-553.85,"Plan 1200",
N14=-461.54,"Plan 1000"
)</f>
        <v>Plan 1400</v>
      </c>
      <c r="P14" s="8" cm="1">
        <f t="array" ref="P14">_xlfn.SWITCH($O14,"Plan 1600",15*12/26,"Plan 1400",10*12/26,"Plan 1200",5*12/26,"Plan 1000",1.5*12/26,"")</f>
        <v>4.615384615384615</v>
      </c>
      <c r="Q14" s="8" cm="1">
        <f t="array" ref="Q14">_xlfn.SWITCH($O14,"Plan 1600",97*12/26,"Plan 1400",78*12/26,"Plan 1200",60*12/26,"Plan 1000",25*12/26,"")</f>
        <v>36</v>
      </c>
      <c r="R14" s="8" cm="1">
        <f t="array" ref="R14">_xlfn.SWITCH($O14,"Plan 1600",25*12/26,"Plan 1400",20*12/26,"Plan 1200",15*12/26,"Plan 1000",2*12/26,"")</f>
        <v>9.2307692307692299</v>
      </c>
    </row>
    <row r="15" spans="1:27" x14ac:dyDescent="0.25">
      <c r="A15" s="11" t="s">
        <v>29</v>
      </c>
      <c r="B15">
        <f>VLOOKUP(A15,'12.2'!A:B,2,FALSE)</f>
        <v>-461.54</v>
      </c>
      <c r="C15" t="str" cm="1">
        <f t="array" ref="C15">_xlfn.IFS(
B15=-738.46,"Plan 1600",
B15=-646.15,"Plan 1400",
B15=-553.85,"Plan 1200",
B15=-461.54,"Plan 1000"
)</f>
        <v>Plan 1000</v>
      </c>
      <c r="D15" s="8" cm="1">
        <f t="array" ref="D15">_xlfn.SWITCH($C15,"Plan 1600",15*12/26,"Plan 1400",10*12/26,"Plan 1200",5*12/26,"Plan 1000",1.5*12/26,"")</f>
        <v>0.69230769230769229</v>
      </c>
      <c r="E15" s="8" cm="1">
        <f t="array" ref="E15">_xlfn.SWITCH($C15,"Plan 1600",97*12/26,"Plan 1400",78*12/26,"Plan 1200",60*12/26,"Plan 1000",25*12/26,"")</f>
        <v>11.538461538461538</v>
      </c>
      <c r="F15" s="8" cm="1">
        <f t="array" ref="F15">_xlfn.SWITCH($C15,"Plan 1600",25*12/26,"Plan 1400",20*12/26,"Plan 1200",15*12/26,"Plan 1000",2*12/26,"")</f>
        <v>0.92307692307692313</v>
      </c>
      <c r="H15">
        <f>VLOOKUP(A15,'12.16'!A:B,2,FALSE)</f>
        <v>-461.54</v>
      </c>
      <c r="I15" t="str" cm="1">
        <f t="array" ref="I15">_xlfn.IFS(
H15=-738.46,"Plan 1600",
H15=-646.15,"Plan 1400",
H15=-553.85,"Plan 1200",
H15=-461.54,"Plan 1000"
)</f>
        <v>Plan 1000</v>
      </c>
      <c r="J15" s="8" cm="1">
        <f t="array" ref="J15">_xlfn.SWITCH($I15,"Plan 1600",15*12/26,"Plan 1400",10*12/26,"Plan 1200",5*12/26,"Plan 1000",1.5*12/26,"")</f>
        <v>0.69230769230769229</v>
      </c>
      <c r="K15" s="8" cm="1">
        <f t="array" ref="K15">_xlfn.SWITCH($I15,"Plan 1600",97*12/26,"Plan 1400",78*12/26,"Plan 1200",60*12/26,"Plan 1000",25*12/26,"")</f>
        <v>11.538461538461538</v>
      </c>
      <c r="L15" s="8" cm="1">
        <f t="array" ref="L15">_xlfn.SWITCH($I15,"Plan 1600",25*12/26,"Plan 1400",20*12/26,"Plan 1200",15*12/26,"Plan 1000",2*12/26,"")</f>
        <v>0.92307692307692313</v>
      </c>
      <c r="N15">
        <f>VLOOKUP(A15,'12.16'!A:B,2,FALSE)</f>
        <v>-461.54</v>
      </c>
      <c r="O15" t="str" cm="1">
        <f t="array" ref="O15">_xlfn.IFS(
N15=-738.46,"Plan 1600",
N15=-646.15,"Plan 1400",
N15=-553.85,"Plan 1200",
N15=-461.54,"Plan 1000"
)</f>
        <v>Plan 1000</v>
      </c>
      <c r="P15" s="8" cm="1">
        <f t="array" ref="P15">_xlfn.SWITCH($O15,"Plan 1600",15*12/26,"Plan 1400",10*12/26,"Plan 1200",5*12/26,"Plan 1000",1.5*12/26,"")</f>
        <v>0.69230769230769229</v>
      </c>
      <c r="Q15" s="8" cm="1">
        <f t="array" ref="Q15">_xlfn.SWITCH($O15,"Plan 1600",97*12/26,"Plan 1400",78*12/26,"Plan 1200",60*12/26,"Plan 1000",25*12/26,"")</f>
        <v>11.538461538461538</v>
      </c>
      <c r="R15" s="8" cm="1">
        <f t="array" ref="R15">_xlfn.SWITCH($O15,"Plan 1600",25*12/26,"Plan 1400",20*12/26,"Plan 1200",15*12/26,"Plan 1000",2*12/26,"")</f>
        <v>0.92307692307692313</v>
      </c>
    </row>
    <row r="16" spans="1:27" x14ac:dyDescent="0.25">
      <c r="A16" s="11" t="s">
        <v>30</v>
      </c>
      <c r="B16">
        <f>VLOOKUP(A16,'12.2'!A:B,2,FALSE)</f>
        <v>-461.54</v>
      </c>
      <c r="C16" t="str" cm="1">
        <f t="array" ref="C16">_xlfn.IFS(
B16=-738.46,"Plan 1600",
B16=-646.15,"Plan 1400",
B16=-553.85,"Plan 1200",
B16=-461.54,"Plan 1000"
)</f>
        <v>Plan 1000</v>
      </c>
      <c r="D16" s="8" cm="1">
        <f t="array" ref="D16">_xlfn.SWITCH($C16,"Plan 1600",15*12/26,"Plan 1400",10*12/26,"Plan 1200",5*12/26,"Plan 1000",1.5*12/26,"")</f>
        <v>0.69230769230769229</v>
      </c>
      <c r="E16" s="8" cm="1">
        <f t="array" ref="E16">_xlfn.SWITCH($C16,"Plan 1600",97*12/26,"Plan 1400",78*12/26,"Plan 1200",60*12/26,"Plan 1000",25*12/26,"")</f>
        <v>11.538461538461538</v>
      </c>
      <c r="F16" s="8" cm="1">
        <f t="array" ref="F16">_xlfn.SWITCH($C16,"Plan 1600",25*12/26,"Plan 1400",20*12/26,"Plan 1200",15*12/26,"Plan 1000",2*12/26,"")</f>
        <v>0.92307692307692313</v>
      </c>
      <c r="H16">
        <f>VLOOKUP(A16,'12.16'!A:B,2,FALSE)</f>
        <v>-553.85</v>
      </c>
      <c r="I16" t="str" cm="1">
        <f t="array" ref="I16">_xlfn.IFS(
H16=-738.46,"Plan 1600",
H16=-646.15,"Plan 1400",
H16=-553.85,"Plan 1200",
H16=-461.54,"Plan 1000"
)</f>
        <v>Plan 1200</v>
      </c>
      <c r="J16" s="8" cm="1">
        <f t="array" ref="J16">_xlfn.SWITCH($I16,"Plan 1600",15*12/26,"Plan 1400",10*12/26,"Plan 1200",5*12/26,"Plan 1000",1.5*12/26,"")</f>
        <v>2.3076923076923075</v>
      </c>
      <c r="K16" s="8" cm="1">
        <f t="array" ref="K16">_xlfn.SWITCH($I16,"Plan 1600",97*12/26,"Plan 1400",78*12/26,"Plan 1200",60*12/26,"Plan 1000",25*12/26,"")</f>
        <v>27.692307692307693</v>
      </c>
      <c r="L16" s="8" cm="1">
        <f t="array" ref="L16">_xlfn.SWITCH($I16,"Plan 1600",25*12/26,"Plan 1400",20*12/26,"Plan 1200",15*12/26,"Plan 1000",2*12/26,"")</f>
        <v>6.9230769230769234</v>
      </c>
      <c r="N16">
        <f>VLOOKUP(A16,'12.16'!A:B,2,FALSE)</f>
        <v>-553.85</v>
      </c>
      <c r="O16" t="str" cm="1">
        <f t="array" ref="O16">_xlfn.IFS(
N16=-738.46,"Plan 1600",
N16=-646.15,"Plan 1400",
N16=-553.85,"Plan 1200",
N16=-461.54,"Plan 1000"
)</f>
        <v>Plan 1200</v>
      </c>
      <c r="P16" s="8" cm="1">
        <f t="array" ref="P16">_xlfn.SWITCH($O16,"Plan 1600",15*12/26,"Plan 1400",10*12/26,"Plan 1200",5*12/26,"Plan 1000",1.5*12/26,"")</f>
        <v>2.3076923076923075</v>
      </c>
      <c r="Q16" s="8" cm="1">
        <f t="array" ref="Q16">_xlfn.SWITCH($O16,"Plan 1600",97*12/26,"Plan 1400",78*12/26,"Plan 1200",60*12/26,"Plan 1000",25*12/26,"")</f>
        <v>27.692307692307693</v>
      </c>
      <c r="R16" s="8" cm="1">
        <f t="array" ref="R16">_xlfn.SWITCH($O16,"Plan 1600",25*12/26,"Plan 1400",20*12/26,"Plan 1200",15*12/26,"Plan 1000",2*12/26,"")</f>
        <v>6.9230769230769234</v>
      </c>
    </row>
    <row r="17" spans="4:18" x14ac:dyDescent="0.25">
      <c r="D17" s="9">
        <f>SUM(D2:D16)</f>
        <v>28.384615384615394</v>
      </c>
      <c r="E17" s="9">
        <f>SUM(E2:E16)</f>
        <v>280.15384615384625</v>
      </c>
      <c r="F17" s="9">
        <f>SUM(F2:F16)</f>
        <v>49.384615384615344</v>
      </c>
      <c r="J17" s="9">
        <f>SUM(J2:J16)</f>
        <v>31.61538461538462</v>
      </c>
      <c r="K17" s="9">
        <f>SUM(K2:K16)</f>
        <v>312.46153846153851</v>
      </c>
      <c r="L17" s="9">
        <f>SUM(L2:L16)</f>
        <v>61.384615384615358</v>
      </c>
      <c r="P17" s="9">
        <f>SUM(P2:P16)</f>
        <v>31.61538461538462</v>
      </c>
      <c r="Q17" s="9">
        <f>SUM(Q2:Q16)</f>
        <v>312.46153846153851</v>
      </c>
      <c r="R17" s="9">
        <f>SUM(R2:R16)</f>
        <v>61.384615384615358</v>
      </c>
    </row>
  </sheetData>
  <sortState xmlns:xlrd2="http://schemas.microsoft.com/office/spreadsheetml/2017/richdata2" ref="A2:AC86">
    <sortCondition ref="B2:B86"/>
  </sortState>
  <mergeCells count="1">
    <mergeCell ref="W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92BA-A9DB-43D0-9AFC-6AA0FF0E86EE}">
  <dimension ref="A1:V15"/>
  <sheetViews>
    <sheetView workbookViewId="0">
      <selection activeCell="J21" sqref="J2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</row>
    <row r="2" spans="1:22" x14ac:dyDescent="0.25">
      <c r="A2" s="11" t="s">
        <v>7</v>
      </c>
      <c r="B2">
        <f>VLOOKUP(A2,'12.2'!A:B,2,FALSE)</f>
        <v>0</v>
      </c>
      <c r="C2" t="e" cm="1">
        <f t="array" ref="C2">_xlfn.IFS(
B2=-738.46,"Plan 1600",
B2=-646.15,"Plan 1400",
B2=-553.85,"Plan 1200",
B2=-461.54,"Plan 1000"
)</f>
        <v>#N/A</v>
      </c>
      <c r="D2" s="8" t="e" cm="1">
        <f t="array" ref="D2">_xlfn.SWITCH($C2,"Plan 1600",15*12/26,"Plan 1400",10*12/26,"Plan 1200",5*12/26,"Plan 1000",1.5*12/26,"")</f>
        <v>#N/A</v>
      </c>
      <c r="E2" s="8" t="e" cm="1">
        <f t="array" ref="E2">_xlfn.SWITCH($C2,"Plan 1600",97*12/26,"Plan 1400",78*12/26,"Plan 1200",60*12/26,"Plan 1000",25*12/26,"")</f>
        <v>#N/A</v>
      </c>
      <c r="F2" s="8" t="e" cm="1">
        <f t="array" ref="F2">_xlfn.SWITCH($C2,"Plan 1600",25*12/26,"Plan 1400",20*12/26,"Plan 1200",15*12/26,"Plan 1000",2*12/26,"")</f>
        <v>#N/A</v>
      </c>
      <c r="G2" s="3"/>
      <c r="H2">
        <f>VLOOKUP(A2,'12.16'!A:B,2,FALSE)</f>
        <v>0</v>
      </c>
      <c r="I2" t="e" cm="1">
        <f t="array" ref="I2">_xlfn.IFS(
H2=-738.46,"Plan 1600",
H2=-646.15,"Plan 1400",
H2=-553.85,"Plan 1200",
H2=-461.54,"Plan 1000"
)</f>
        <v>#N/A</v>
      </c>
      <c r="J2" s="8" t="e" cm="1">
        <f t="array" ref="J2">_xlfn.SWITCH($I2,"Plan 1600",15*12/26,"Plan 1400",10*12/26,"Plan 1200",5*12/26,"Plan 1000",1.5*12/26,"")</f>
        <v>#N/A</v>
      </c>
      <c r="K2" s="8" t="e" cm="1">
        <f t="array" ref="K2">_xlfn.SWITCH($I2,"Plan 1600",97*12/26,"Plan 1400",78*12/26,"Plan 1200",60*12/26,"Plan 1000",25*12/26,"")</f>
        <v>#N/A</v>
      </c>
      <c r="L2" s="8" t="e" cm="1">
        <f t="array" ref="L2">_xlfn.SWITCH($I2,"Plan 1600",25*12/26,"Plan 1400",20*12/26,"Plan 1200",15*12/26,"Plan 1000",2*12/26,"")</f>
        <v>#N/A</v>
      </c>
      <c r="M2" s="3"/>
      <c r="N2" t="e">
        <f>VLOOKUP(A2,'12.30'!G:H,2,FALSE)</f>
        <v>#N/A</v>
      </c>
      <c r="O2" t="e" cm="1">
        <f t="array" ref="O2">_xlfn.IFS(
N2=-738.46,"Plan 1600",
N2=-646.15,"Plan 1400",
N2=-553.85,"Plan 1200",
N2=-461.54,"Plan 1000"
)</f>
        <v>#N/A</v>
      </c>
      <c r="P2" s="8" t="e" cm="1">
        <f t="array" ref="P2">_xlfn.SWITCH($I2,"Plan 1600",15*12/26,"Plan 1400",10*12/26,"Plan 1200",5*12/26,"Plan 1000",1.5*12/26,"")</f>
        <v>#N/A</v>
      </c>
      <c r="Q2" s="8" t="e" cm="1">
        <f t="array" ref="Q2">_xlfn.SWITCH($I2,"Plan 1600",97*12/26,"Plan 1400",78*12/26,"Plan 1200",60*12/26,"Plan 1000",25*12/26,"")</f>
        <v>#N/A</v>
      </c>
      <c r="R2" s="8" t="e" cm="1">
        <f t="array" ref="R2">_xlfn.SWITCH($I2,"Plan 1600",25*12/26,"Plan 1400",20*12/26,"Plan 1200",15*12/26,"Plan 1000",2*12/26,"")</f>
        <v>#N/A</v>
      </c>
      <c r="S2" s="3"/>
      <c r="V2" s="8"/>
    </row>
    <row r="3" spans="1:22" x14ac:dyDescent="0.25">
      <c r="A3" s="11" t="s">
        <v>11</v>
      </c>
      <c r="B3">
        <f>VLOOKUP(A3,'12.2'!A:B,2,FALSE)</f>
        <v>0</v>
      </c>
      <c r="C3" t="e" cm="1">
        <f t="array" ref="C3">_xlfn.IFS(
B3=-738.46,"Plan 1600",
B3=-646.15,"Plan 1400",
B3=-553.85,"Plan 1200",
B3=-461.54,"Plan 1000"
)</f>
        <v>#N/A</v>
      </c>
      <c r="D3" s="8" t="e" cm="1">
        <f t="array" ref="D3">_xlfn.SWITCH($C3,"Plan 1600",15*12/26,"Plan 1400",10*12/26,"Plan 1200",5*12/26,"Plan 1000",1.5*12/26,"")</f>
        <v>#N/A</v>
      </c>
      <c r="E3" s="8" t="e" cm="1">
        <f t="array" ref="E3">_xlfn.SWITCH($C3,"Plan 1600",97*12/26,"Plan 1400",78*12/26,"Plan 1200",60*12/26,"Plan 1000",25*12/26,"")</f>
        <v>#N/A</v>
      </c>
      <c r="F3" s="8" t="e" cm="1">
        <f t="array" ref="F3">_xlfn.SWITCH($C3,"Plan 1600",25*12/26,"Plan 1400",20*12/26,"Plan 1200",15*12/26,"Plan 1000",2*12/26,"")</f>
        <v>#N/A</v>
      </c>
      <c r="G3" s="3"/>
      <c r="H3">
        <f>VLOOKUP(A3,'12.16'!A:B,2,FALSE)</f>
        <v>0</v>
      </c>
      <c r="I3" t="e" cm="1">
        <f t="array" ref="I3">_xlfn.IFS(
H3=-738.46,"Plan 1600",
H3=-646.15,"Plan 1400",
H3=-553.85,"Plan 1200",
H3=-461.54,"Plan 1000"
)</f>
        <v>#N/A</v>
      </c>
      <c r="J3" s="8" t="e" cm="1">
        <f t="array" ref="J3">_xlfn.SWITCH($I3,"Plan 1600",15*12/26,"Plan 1400",10*12/26,"Plan 1200",5*12/26,"Plan 1000",1.5*12/26,"")</f>
        <v>#N/A</v>
      </c>
      <c r="K3" s="8" t="e" cm="1">
        <f t="array" ref="K3">_xlfn.SWITCH($I3,"Plan 1600",97*12/26,"Plan 1400",78*12/26,"Plan 1200",60*12/26,"Plan 1000",25*12/26,"")</f>
        <v>#N/A</v>
      </c>
      <c r="L3" s="8" t="e" cm="1">
        <f t="array" ref="L3">_xlfn.SWITCH($I3,"Plan 1600",25*12/26,"Plan 1400",20*12/26,"Plan 1200",15*12/26,"Plan 1000",2*12/26,"")</f>
        <v>#N/A</v>
      </c>
      <c r="M3" s="3"/>
      <c r="N3" t="e">
        <f>VLOOKUP(A3,'12.30'!G:H,2,FALSE)</f>
        <v>#N/A</v>
      </c>
      <c r="O3" t="e" cm="1">
        <f t="array" ref="O3">_xlfn.IFS(
N3=-738.46,"Plan 1600",
N3=-646.15,"Plan 1400",
N3=-553.85,"Plan 1200",
N3=-461.54,"Plan 1000"
)</f>
        <v>#N/A</v>
      </c>
      <c r="P3" s="8" t="e" cm="1">
        <f t="array" ref="P3">_xlfn.SWITCH($I3,"Plan 1600",15*12/26,"Plan 1400",10*12/26,"Plan 1200",5*12/26,"Plan 1000",1.5*12/26,"")</f>
        <v>#N/A</v>
      </c>
      <c r="Q3" s="8" t="e" cm="1">
        <f t="array" ref="Q3">_xlfn.SWITCH($I3,"Plan 1600",97*12/26,"Plan 1400",78*12/26,"Plan 1200",60*12/26,"Plan 1000",25*12/26,"")</f>
        <v>#N/A</v>
      </c>
      <c r="R3" s="8" t="e" cm="1">
        <f t="array" ref="R3">_xlfn.SWITCH($I3,"Plan 1600",25*12/26,"Plan 1400",20*12/26,"Plan 1200",15*12/26,"Plan 1000",2*12/26,"")</f>
        <v>#N/A</v>
      </c>
      <c r="S3" s="3"/>
    </row>
    <row r="4" spans="1:22" x14ac:dyDescent="0.25">
      <c r="A4" s="11" t="s">
        <v>12</v>
      </c>
      <c r="B4">
        <f>VLOOKUP(A4,'12.2'!A:B,2,FALSE)</f>
        <v>0</v>
      </c>
      <c r="C4" t="e" cm="1">
        <f t="array" ref="C4">_xlfn.IFS(
B4=-738.46,"Plan 1600",
B4=-646.15,"Plan 1400",
B4=-553.85,"Plan 1200",
B4=-461.54,"Plan 1000"
)</f>
        <v>#N/A</v>
      </c>
      <c r="D4" s="8" t="e" cm="1">
        <f t="array" ref="D4">_xlfn.SWITCH($C4,"Plan 1600",15*12/26,"Plan 1400",10*12/26,"Plan 1200",5*12/26,"Plan 1000",1.5*12/26,"")</f>
        <v>#N/A</v>
      </c>
      <c r="E4" s="8" t="e" cm="1">
        <f t="array" ref="E4">_xlfn.SWITCH($C4,"Plan 1600",97*12/26,"Plan 1400",78*12/26,"Plan 1200",60*12/26,"Plan 1000",25*12/26,"")</f>
        <v>#N/A</v>
      </c>
      <c r="F4" s="8" t="e" cm="1">
        <f t="array" ref="F4">_xlfn.SWITCH($C4,"Plan 1600",25*12/26,"Plan 1400",20*12/26,"Plan 1200",15*12/26,"Plan 1000",2*12/26,"")</f>
        <v>#N/A</v>
      </c>
      <c r="G4" s="3"/>
      <c r="H4">
        <f>VLOOKUP(A4,'12.16'!A:B,2,FALSE)</f>
        <v>-461.54</v>
      </c>
      <c r="I4" t="str" cm="1">
        <f t="array" ref="I4">_xlfn.IFS(
H4=-738.46,"Plan 1600",
H4=-646.15,"Plan 1400",
H4=-553.85,"Plan 1200",
H4=-461.54,"Plan 1000"
)</f>
        <v>Plan 1000</v>
      </c>
      <c r="J4" s="8" cm="1">
        <f t="array" ref="J4">_xlfn.SWITCH($I4,"Plan 1600",15*12/26,"Plan 1400",10*12/26,"Plan 1200",5*12/26,"Plan 1000",1.5*12/26,"")</f>
        <v>0.69230769230769229</v>
      </c>
      <c r="K4" s="8" cm="1">
        <f t="array" ref="K4">_xlfn.SWITCH($I4,"Plan 1600",97*12/26,"Plan 1400",78*12/26,"Plan 1200",60*12/26,"Plan 1000",25*12/26,"")</f>
        <v>11.538461538461538</v>
      </c>
      <c r="L4" s="8" cm="1">
        <f t="array" ref="L4">_xlfn.SWITCH($I4,"Plan 1600",25*12/26,"Plan 1400",20*12/26,"Plan 1200",15*12/26,"Plan 1000",2*12/26,"")</f>
        <v>0.92307692307692313</v>
      </c>
      <c r="M4" s="3"/>
      <c r="N4" t="e">
        <f>VLOOKUP(A4,'12.30'!G:H,2,FALSE)</f>
        <v>#N/A</v>
      </c>
      <c r="O4" t="e" cm="1">
        <f t="array" ref="O4">_xlfn.IFS(
N4=-738.46,"Plan 1600",
N4=-646.15,"Plan 1400",
N4=-553.85,"Plan 1200",
N4=-461.54,"Plan 1000"
)</f>
        <v>#N/A</v>
      </c>
      <c r="P4" s="8" cm="1">
        <f t="array" ref="P4">_xlfn.SWITCH($I4,"Plan 1600",15*12/26,"Plan 1400",10*12/26,"Plan 1200",5*12/26,"Plan 1000",1.5*12/26,"")</f>
        <v>0.69230769230769229</v>
      </c>
      <c r="Q4" s="8" cm="1">
        <f t="array" ref="Q4">_xlfn.SWITCH($I4,"Plan 1600",97*12/26,"Plan 1400",78*12/26,"Plan 1200",60*12/26,"Plan 1000",25*12/26,"")</f>
        <v>11.538461538461538</v>
      </c>
      <c r="R4" s="8" cm="1">
        <f t="array" ref="R4">_xlfn.SWITCH($I4,"Plan 1600",25*12/26,"Plan 1400",20*12/26,"Plan 1200",15*12/26,"Plan 1000",2*12/26,"")</f>
        <v>0.92307692307692313</v>
      </c>
      <c r="S4" s="3"/>
    </row>
    <row r="5" spans="1:22" x14ac:dyDescent="0.25">
      <c r="A5" s="11" t="s">
        <v>13</v>
      </c>
      <c r="B5">
        <f>VLOOKUP(A5,'12.2'!A:B,2,FALSE)</f>
        <v>0</v>
      </c>
      <c r="C5" t="e" cm="1">
        <f t="array" ref="C5">_xlfn.IFS(
B5=-738.46,"Plan 1600",
B5=-646.15,"Plan 1400",
B5=-553.85,"Plan 1200",
B5=-461.54,"Plan 1000"
)</f>
        <v>#N/A</v>
      </c>
      <c r="D5" s="8" t="e" cm="1">
        <f t="array" ref="D5">_xlfn.SWITCH($C5,"Plan 1600",15*12/26,"Plan 1400",10*12/26,"Plan 1200",5*12/26,"Plan 1000",1.5*12/26,"")</f>
        <v>#N/A</v>
      </c>
      <c r="E5" s="8" t="e" cm="1">
        <f t="array" ref="E5">_xlfn.SWITCH($C5,"Plan 1600",97*12/26,"Plan 1400",78*12/26,"Plan 1200",60*12/26,"Plan 1000",25*12/26,"")</f>
        <v>#N/A</v>
      </c>
      <c r="F5" s="8" t="e" cm="1">
        <f t="array" ref="F5">_xlfn.SWITCH($C5,"Plan 1600",25*12/26,"Plan 1400",20*12/26,"Plan 1200",15*12/26,"Plan 1000",2*12/26,"")</f>
        <v>#N/A</v>
      </c>
      <c r="G5" s="3"/>
      <c r="H5">
        <f>VLOOKUP(A5,'12.16'!A:B,2,FALSE)</f>
        <v>0</v>
      </c>
      <c r="I5" t="e" cm="1">
        <f t="array" ref="I5">_xlfn.IFS(
H5=-738.46,"Plan 1600",
H5=-646.15,"Plan 1400",
H5=-553.85,"Plan 1200",
H5=-461.54,"Plan 1000"
)</f>
        <v>#N/A</v>
      </c>
      <c r="J5" s="8" t="e" cm="1">
        <f t="array" ref="J5">_xlfn.SWITCH($I5,"Plan 1600",15*12/26,"Plan 1400",10*12/26,"Plan 1200",5*12/26,"Plan 1000",1.5*12/26,"")</f>
        <v>#N/A</v>
      </c>
      <c r="K5" s="8" t="e" cm="1">
        <f t="array" ref="K5">_xlfn.SWITCH($I5,"Plan 1600",97*12/26,"Plan 1400",78*12/26,"Plan 1200",60*12/26,"Plan 1000",25*12/26,"")</f>
        <v>#N/A</v>
      </c>
      <c r="L5" s="8" t="e" cm="1">
        <f t="array" ref="L5">_xlfn.SWITCH($I5,"Plan 1600",25*12/26,"Plan 1400",20*12/26,"Plan 1200",15*12/26,"Plan 1000",2*12/26,"")</f>
        <v>#N/A</v>
      </c>
      <c r="M5" s="3"/>
      <c r="N5" t="e">
        <f>VLOOKUP(A5,'12.30'!G:H,2,FALSE)</f>
        <v>#N/A</v>
      </c>
      <c r="O5" t="e" cm="1">
        <f t="array" ref="O5">_xlfn.IFS(
N5=-738.46,"Plan 1600",
N5=-646.15,"Plan 1400",
N5=-553.85,"Plan 1200",
N5=-461.54,"Plan 1000"
)</f>
        <v>#N/A</v>
      </c>
      <c r="P5" s="8" t="e" cm="1">
        <f t="array" ref="P5">_xlfn.SWITCH($I5,"Plan 1600",15*12/26,"Plan 1400",10*12/26,"Plan 1200",5*12/26,"Plan 1000",1.5*12/26,"")</f>
        <v>#N/A</v>
      </c>
      <c r="Q5" s="8" t="e" cm="1">
        <f t="array" ref="Q5">_xlfn.SWITCH($I5,"Plan 1600",97*12/26,"Plan 1400",78*12/26,"Plan 1200",60*12/26,"Plan 1000",25*12/26,"")</f>
        <v>#N/A</v>
      </c>
      <c r="R5" s="8" t="e" cm="1">
        <f t="array" ref="R5">_xlfn.SWITCH($I5,"Plan 1600",25*12/26,"Plan 1400",20*12/26,"Plan 1200",15*12/26,"Plan 1000",2*12/26,"")</f>
        <v>#N/A</v>
      </c>
      <c r="S5" s="3"/>
    </row>
    <row r="6" spans="1:22" x14ac:dyDescent="0.25">
      <c r="A6" s="11" t="s">
        <v>14</v>
      </c>
      <c r="B6">
        <f>VLOOKUP(A6,'12.2'!A:B,2,FALSE)</f>
        <v>0</v>
      </c>
      <c r="C6" t="e" cm="1">
        <f t="array" ref="C6">_xlfn.IFS(
B6=-738.46,"Plan 1600",
B6=-646.15,"Plan 1400",
B6=-553.85,"Plan 1200",
B6=-461.54,"Plan 1000"
)</f>
        <v>#N/A</v>
      </c>
      <c r="D6" s="8" t="e" cm="1">
        <f t="array" ref="D6">_xlfn.SWITCH($C6,"Plan 1600",15*12/26,"Plan 1400",10*12/26,"Plan 1200",5*12/26,"Plan 1000",1.5*12/26,"")</f>
        <v>#N/A</v>
      </c>
      <c r="E6" s="8" t="e" cm="1">
        <f t="array" ref="E6">_xlfn.SWITCH($C6,"Plan 1600",97*12/26,"Plan 1400",78*12/26,"Plan 1200",60*12/26,"Plan 1000",25*12/26,"")</f>
        <v>#N/A</v>
      </c>
      <c r="F6" s="8" t="e" cm="1">
        <f t="array" ref="F6">_xlfn.SWITCH($C6,"Plan 1600",25*12/26,"Plan 1400",20*12/26,"Plan 1200",15*12/26,"Plan 1000",2*12/26,"")</f>
        <v>#N/A</v>
      </c>
      <c r="G6" s="3"/>
      <c r="H6">
        <f>VLOOKUP(A6,'12.16'!A:B,2,FALSE)</f>
        <v>0</v>
      </c>
      <c r="I6" t="e" cm="1">
        <f t="array" ref="I6">_xlfn.IFS(
H6=-738.46,"Plan 1600",
H6=-646.15,"Plan 1400",
H6=-553.85,"Plan 1200",
H6=-461.54,"Plan 1000"
)</f>
        <v>#N/A</v>
      </c>
      <c r="J6" s="8" t="e" cm="1">
        <f t="array" ref="J6">_xlfn.SWITCH($I6,"Plan 1600",15*12/26,"Plan 1400",10*12/26,"Plan 1200",5*12/26,"Plan 1000",1.5*12/26,"")</f>
        <v>#N/A</v>
      </c>
      <c r="K6" s="8" t="e" cm="1">
        <f t="array" ref="K6">_xlfn.SWITCH($I6,"Plan 1600",97*12/26,"Plan 1400",78*12/26,"Plan 1200",60*12/26,"Plan 1000",25*12/26,"")</f>
        <v>#N/A</v>
      </c>
      <c r="L6" s="8" t="e" cm="1">
        <f t="array" ref="L6">_xlfn.SWITCH($I6,"Plan 1600",25*12/26,"Plan 1400",20*12/26,"Plan 1200",15*12/26,"Plan 1000",2*12/26,"")</f>
        <v>#N/A</v>
      </c>
      <c r="M6" s="3"/>
      <c r="N6" t="e">
        <f>VLOOKUP(A6,'12.30'!G:H,2,FALSE)</f>
        <v>#N/A</v>
      </c>
      <c r="O6" t="e" cm="1">
        <f t="array" ref="O6">_xlfn.IFS(
N6=-738.46,"Plan 1600",
N6=-646.15,"Plan 1400",
N6=-553.85,"Plan 1200",
N6=-461.54,"Plan 1000"
)</f>
        <v>#N/A</v>
      </c>
      <c r="P6" s="8" t="e" cm="1">
        <f t="array" ref="P6">_xlfn.SWITCH($I6,"Plan 1600",15*12/26,"Plan 1400",10*12/26,"Plan 1200",5*12/26,"Plan 1000",1.5*12/26,"")</f>
        <v>#N/A</v>
      </c>
      <c r="Q6" s="8" t="e" cm="1">
        <f t="array" ref="Q6">_xlfn.SWITCH($I6,"Plan 1600",97*12/26,"Plan 1400",78*12/26,"Plan 1200",60*12/26,"Plan 1000",25*12/26,"")</f>
        <v>#N/A</v>
      </c>
      <c r="R6" s="8" t="e" cm="1">
        <f t="array" ref="R6">_xlfn.SWITCH($I6,"Plan 1600",25*12/26,"Plan 1400",20*12/26,"Plan 1200",15*12/26,"Plan 1000",2*12/26,"")</f>
        <v>#N/A</v>
      </c>
      <c r="S6" s="3"/>
    </row>
    <row r="7" spans="1:22" x14ac:dyDescent="0.25">
      <c r="A7" s="11" t="s">
        <v>16</v>
      </c>
      <c r="B7">
        <f>VLOOKUP(A7,'12.2'!A:B,2,FALSE)</f>
        <v>0</v>
      </c>
      <c r="C7" t="e" cm="1">
        <f t="array" ref="C7">_xlfn.IFS(
B7=-738.46,"Plan 1600",
B7=-646.15,"Plan 1400",
B7=-553.85,"Plan 1200",
B7=-461.54,"Plan 1000"
)</f>
        <v>#N/A</v>
      </c>
      <c r="D7" s="8" t="e" cm="1">
        <f t="array" ref="D7">_xlfn.SWITCH($C7,"Plan 1600",15*12/26,"Plan 1400",10*12/26,"Plan 1200",5*12/26,"Plan 1000",1.5*12/26,"")</f>
        <v>#N/A</v>
      </c>
      <c r="E7" s="8" t="e" cm="1">
        <f t="array" ref="E7">_xlfn.SWITCH($C7,"Plan 1600",97*12/26,"Plan 1400",78*12/26,"Plan 1200",60*12/26,"Plan 1000",25*12/26,"")</f>
        <v>#N/A</v>
      </c>
      <c r="F7" s="8" t="e" cm="1">
        <f t="array" ref="F7">_xlfn.SWITCH($C7,"Plan 1600",25*12/26,"Plan 1400",20*12/26,"Plan 1200",15*12/26,"Plan 1000",2*12/26,"")</f>
        <v>#N/A</v>
      </c>
      <c r="G7" s="3"/>
      <c r="H7">
        <f>VLOOKUP(A7,'12.16'!A:B,2,FALSE)</f>
        <v>0</v>
      </c>
      <c r="I7" t="e" cm="1">
        <f t="array" ref="I7">_xlfn.IFS(
H7=-738.46,"Plan 1600",
H7=-646.15,"Plan 1400",
H7=-553.85,"Plan 1200",
H7=-461.54,"Plan 1000"
)</f>
        <v>#N/A</v>
      </c>
      <c r="J7" s="8" t="e" cm="1">
        <f t="array" ref="J7">_xlfn.SWITCH($I7,"Plan 1600",15*12/26,"Plan 1400",10*12/26,"Plan 1200",5*12/26,"Plan 1000",1.5*12/26,"")</f>
        <v>#N/A</v>
      </c>
      <c r="K7" s="8" t="e" cm="1">
        <f t="array" ref="K7">_xlfn.SWITCH($I7,"Plan 1600",97*12/26,"Plan 1400",78*12/26,"Plan 1200",60*12/26,"Plan 1000",25*12/26,"")</f>
        <v>#N/A</v>
      </c>
      <c r="L7" s="8" t="e" cm="1">
        <f t="array" ref="L7">_xlfn.SWITCH($I7,"Plan 1600",25*12/26,"Plan 1400",20*12/26,"Plan 1200",15*12/26,"Plan 1000",2*12/26,"")</f>
        <v>#N/A</v>
      </c>
      <c r="M7" s="3"/>
      <c r="N7" t="e">
        <f>VLOOKUP(A7,'12.30'!G:H,2,FALSE)</f>
        <v>#N/A</v>
      </c>
      <c r="O7" t="e" cm="1">
        <f t="array" ref="O7">_xlfn.IFS(
N7=-738.46,"Plan 1600",
N7=-646.15,"Plan 1400",
N7=-553.85,"Plan 1200",
N7=-461.54,"Plan 1000"
)</f>
        <v>#N/A</v>
      </c>
      <c r="P7" s="8" t="e" cm="1">
        <f t="array" ref="P7">_xlfn.SWITCH($I7,"Plan 1600",15*12/26,"Plan 1400",10*12/26,"Plan 1200",5*12/26,"Plan 1000",1.5*12/26,"")</f>
        <v>#N/A</v>
      </c>
      <c r="Q7" s="8" t="e" cm="1">
        <f t="array" ref="Q7">_xlfn.SWITCH($I7,"Plan 1600",97*12/26,"Plan 1400",78*12/26,"Plan 1200",60*12/26,"Plan 1000",25*12/26,"")</f>
        <v>#N/A</v>
      </c>
      <c r="R7" s="8" t="e" cm="1">
        <f t="array" ref="R7">_xlfn.SWITCH($I7,"Plan 1600",25*12/26,"Plan 1400",20*12/26,"Plan 1200",15*12/26,"Plan 1000",2*12/26,"")</f>
        <v>#N/A</v>
      </c>
      <c r="S7" s="3"/>
    </row>
    <row r="8" spans="1:22" x14ac:dyDescent="0.25">
      <c r="A8" s="11" t="s">
        <v>18</v>
      </c>
      <c r="B8">
        <f>VLOOKUP(A8,'12.2'!A:B,2,FALSE)</f>
        <v>0</v>
      </c>
      <c r="C8" t="e" cm="1">
        <f t="array" ref="C8">_xlfn.IFS(
B8=-738.46,"Plan 1600",
B8=-646.15,"Plan 1400",
B8=-553.85,"Plan 1200",
B8=-461.54,"Plan 1000"
)</f>
        <v>#N/A</v>
      </c>
      <c r="D8" s="8" t="e" cm="1">
        <f t="array" ref="D8">_xlfn.SWITCH($C8,"Plan 1600",15*12/26,"Plan 1400",10*12/26,"Plan 1200",5*12/26,"Plan 1000",1.5*12/26,"")</f>
        <v>#N/A</v>
      </c>
      <c r="E8" s="8" t="e" cm="1">
        <f t="array" ref="E8">_xlfn.SWITCH($C8,"Plan 1600",97*12/26,"Plan 1400",78*12/26,"Plan 1200",60*12/26,"Plan 1000",25*12/26,"")</f>
        <v>#N/A</v>
      </c>
      <c r="F8" s="8" t="e" cm="1">
        <f t="array" ref="F8">_xlfn.SWITCH($C8,"Plan 1600",25*12/26,"Plan 1400",20*12/26,"Plan 1200",15*12/26,"Plan 1000",2*12/26,"")</f>
        <v>#N/A</v>
      </c>
      <c r="G8" s="3"/>
      <c r="H8">
        <f>VLOOKUP(A8,'12.16'!A:B,2,FALSE)</f>
        <v>0</v>
      </c>
      <c r="I8" t="e" cm="1">
        <f t="array" ref="I8">_xlfn.IFS(
H8=-738.46,"Plan 1600",
H8=-646.15,"Plan 1400",
H8=-553.85,"Plan 1200",
H8=-461.54,"Plan 1000"
)</f>
        <v>#N/A</v>
      </c>
      <c r="J8" s="8" t="e" cm="1">
        <f t="array" ref="J8">_xlfn.SWITCH($I8,"Plan 1600",15*12/26,"Plan 1400",10*12/26,"Plan 1200",5*12/26,"Plan 1000",1.5*12/26,"")</f>
        <v>#N/A</v>
      </c>
      <c r="K8" s="8" t="e" cm="1">
        <f t="array" ref="K8">_xlfn.SWITCH($I8,"Plan 1600",97*12/26,"Plan 1400",78*12/26,"Plan 1200",60*12/26,"Plan 1000",25*12/26,"")</f>
        <v>#N/A</v>
      </c>
      <c r="L8" s="8" t="e" cm="1">
        <f t="array" ref="L8">_xlfn.SWITCH($I8,"Plan 1600",25*12/26,"Plan 1400",20*12/26,"Plan 1200",15*12/26,"Plan 1000",2*12/26,"")</f>
        <v>#N/A</v>
      </c>
      <c r="M8" s="3"/>
      <c r="N8" t="e">
        <f>VLOOKUP(A8,'12.30'!G:H,2,FALSE)</f>
        <v>#N/A</v>
      </c>
      <c r="O8" t="e" cm="1">
        <f t="array" ref="O8">_xlfn.IFS(
N8=-738.46,"Plan 1600",
N8=-646.15,"Plan 1400",
N8=-553.85,"Plan 1200",
N8=-461.54,"Plan 1000"
)</f>
        <v>#N/A</v>
      </c>
      <c r="P8" s="8" t="e" cm="1">
        <f t="array" ref="P8">_xlfn.SWITCH($I8,"Plan 1600",15*12/26,"Plan 1400",10*12/26,"Plan 1200",5*12/26,"Plan 1000",1.5*12/26,"")</f>
        <v>#N/A</v>
      </c>
      <c r="Q8" s="8" t="e" cm="1">
        <f t="array" ref="Q8">_xlfn.SWITCH($I8,"Plan 1600",97*12/26,"Plan 1400",78*12/26,"Plan 1200",60*12/26,"Plan 1000",25*12/26,"")</f>
        <v>#N/A</v>
      </c>
      <c r="R8" s="8" t="e" cm="1">
        <f t="array" ref="R8">_xlfn.SWITCH($I8,"Plan 1600",25*12/26,"Plan 1400",20*12/26,"Plan 1200",15*12/26,"Plan 1000",2*12/26,"")</f>
        <v>#N/A</v>
      </c>
      <c r="S8" s="3"/>
    </row>
    <row r="9" spans="1:22" x14ac:dyDescent="0.25">
      <c r="A9" s="11" t="s">
        <v>20</v>
      </c>
      <c r="B9">
        <f>VLOOKUP(A9,'12.2'!A:B,2,FALSE)</f>
        <v>0</v>
      </c>
      <c r="C9" t="e" cm="1">
        <f t="array" ref="C9">_xlfn.IFS(
B9=-738.46,"Plan 1600",
B9=-646.15,"Plan 1400",
B9=-553.85,"Plan 1200",
B9=-461.54,"Plan 1000"
)</f>
        <v>#N/A</v>
      </c>
      <c r="D9" s="8" t="e" cm="1">
        <f t="array" ref="D9">_xlfn.SWITCH($C9,"Plan 1600",15*12/26,"Plan 1400",10*12/26,"Plan 1200",5*12/26,"Plan 1000",1.5*12/26,"")</f>
        <v>#N/A</v>
      </c>
      <c r="E9" s="8" t="e" cm="1">
        <f t="array" ref="E9">_xlfn.SWITCH($C9,"Plan 1600",97*12/26,"Plan 1400",78*12/26,"Plan 1200",60*12/26,"Plan 1000",25*12/26,"")</f>
        <v>#N/A</v>
      </c>
      <c r="F9" s="8" t="e" cm="1">
        <f t="array" ref="F9">_xlfn.SWITCH($C9,"Plan 1600",25*12/26,"Plan 1400",20*12/26,"Plan 1200",15*12/26,"Plan 1000",2*12/26,"")</f>
        <v>#N/A</v>
      </c>
      <c r="G9" s="3"/>
      <c r="H9">
        <f>VLOOKUP(A9,'12.16'!A:B,2,FALSE)</f>
        <v>0</v>
      </c>
      <c r="I9" t="e" cm="1">
        <f t="array" ref="I9">_xlfn.IFS(
H9=-738.46,"Plan 1600",
H9=-646.15,"Plan 1400",
H9=-553.85,"Plan 1200",
H9=-461.54,"Plan 1000"
)</f>
        <v>#N/A</v>
      </c>
      <c r="J9" s="8" t="e" cm="1">
        <f t="array" ref="J9">_xlfn.SWITCH($I9,"Plan 1600",15*12/26,"Plan 1400",10*12/26,"Plan 1200",5*12/26,"Plan 1000",1.5*12/26,"")</f>
        <v>#N/A</v>
      </c>
      <c r="K9" s="8" t="e" cm="1">
        <f t="array" ref="K9">_xlfn.SWITCH($I9,"Plan 1600",97*12/26,"Plan 1400",78*12/26,"Plan 1200",60*12/26,"Plan 1000",25*12/26,"")</f>
        <v>#N/A</v>
      </c>
      <c r="L9" s="8" t="e" cm="1">
        <f t="array" ref="L9">_xlfn.SWITCH($I9,"Plan 1600",25*12/26,"Plan 1400",20*12/26,"Plan 1200",15*12/26,"Plan 1000",2*12/26,"")</f>
        <v>#N/A</v>
      </c>
      <c r="M9" s="3"/>
      <c r="N9" t="e">
        <f>VLOOKUP(A9,'12.30'!G:H,2,FALSE)</f>
        <v>#N/A</v>
      </c>
      <c r="O9" t="e" cm="1">
        <f t="array" ref="O9">_xlfn.IFS(
N9=-738.46,"Plan 1600",
N9=-646.15,"Plan 1400",
N9=-553.85,"Plan 1200",
N9=-461.54,"Plan 1000"
)</f>
        <v>#N/A</v>
      </c>
      <c r="P9" s="8" t="e" cm="1">
        <f t="array" ref="P9">_xlfn.SWITCH($I9,"Plan 1600",15*12/26,"Plan 1400",10*12/26,"Plan 1200",5*12/26,"Plan 1000",1.5*12/26,"")</f>
        <v>#N/A</v>
      </c>
      <c r="Q9" s="8" t="e" cm="1">
        <f t="array" ref="Q9">_xlfn.SWITCH($I9,"Plan 1600",97*12/26,"Plan 1400",78*12/26,"Plan 1200",60*12/26,"Plan 1000",25*12/26,"")</f>
        <v>#N/A</v>
      </c>
      <c r="R9" s="8" t="e" cm="1">
        <f t="array" ref="R9">_xlfn.SWITCH($I9,"Plan 1600",25*12/26,"Plan 1400",20*12/26,"Plan 1200",15*12/26,"Plan 1000",2*12/26,"")</f>
        <v>#N/A</v>
      </c>
      <c r="S9" s="3"/>
    </row>
    <row r="10" spans="1:22" x14ac:dyDescent="0.25">
      <c r="A10" s="11" t="s">
        <v>26</v>
      </c>
      <c r="B10">
        <f>VLOOKUP(A10,'12.2'!A:B,2,FALSE)</f>
        <v>0</v>
      </c>
      <c r="C10" t="e" cm="1">
        <f t="array" ref="C10">_xlfn.IFS(
B10=-738.46,"Plan 1600",
B10=-646.15,"Plan 1400",
B10=-553.85,"Plan 1200",
B10=-461.54,"Plan 1000"
)</f>
        <v>#N/A</v>
      </c>
      <c r="D10" s="8" t="e" cm="1">
        <f t="array" ref="D10">_xlfn.SWITCH($C10,"Plan 1600",15*12/26,"Plan 1400",10*12/26,"Plan 1200",5*12/26,"Plan 1000",1.5*12/26,"")</f>
        <v>#N/A</v>
      </c>
      <c r="E10" s="8" t="e" cm="1">
        <f t="array" ref="E10">_xlfn.SWITCH($C10,"Plan 1600",97*12/26,"Plan 1400",78*12/26,"Plan 1200",60*12/26,"Plan 1000",25*12/26,"")</f>
        <v>#N/A</v>
      </c>
      <c r="F10" s="8" t="e" cm="1">
        <f t="array" ref="F10">_xlfn.SWITCH($C10,"Plan 1600",25*12/26,"Plan 1400",20*12/26,"Plan 1200",15*12/26,"Plan 1000",2*12/26,"")</f>
        <v>#N/A</v>
      </c>
      <c r="G10" s="3"/>
      <c r="H10">
        <f>VLOOKUP(A10,'12.16'!A:B,2,FALSE)</f>
        <v>0</v>
      </c>
      <c r="I10" t="e" cm="1">
        <f t="array" ref="I10">_xlfn.IFS(
H10=-738.46,"Plan 1600",
H10=-646.15,"Plan 1400",
H10=-553.85,"Plan 1200",
H10=-461.54,"Plan 1000"
)</f>
        <v>#N/A</v>
      </c>
      <c r="J10" s="8" t="e" cm="1">
        <f t="array" ref="J10">_xlfn.SWITCH($I10,"Plan 1600",15*12/26,"Plan 1400",10*12/26,"Plan 1200",5*12/26,"Plan 1000",1.5*12/26,"")</f>
        <v>#N/A</v>
      </c>
      <c r="K10" s="8" t="e" cm="1">
        <f t="array" ref="K10">_xlfn.SWITCH($I10,"Plan 1600",97*12/26,"Plan 1400",78*12/26,"Plan 1200",60*12/26,"Plan 1000",25*12/26,"")</f>
        <v>#N/A</v>
      </c>
      <c r="L10" s="8" t="e" cm="1">
        <f t="array" ref="L10">_xlfn.SWITCH($I10,"Plan 1600",25*12/26,"Plan 1400",20*12/26,"Plan 1200",15*12/26,"Plan 1000",2*12/26,"")</f>
        <v>#N/A</v>
      </c>
      <c r="M10" s="3"/>
      <c r="N10" t="e">
        <f>VLOOKUP(A10,'12.30'!G:H,2,FALSE)</f>
        <v>#N/A</v>
      </c>
      <c r="O10" t="e" cm="1">
        <f t="array" ref="O10">_xlfn.IFS(
N10=-738.46,"Plan 1600",
N10=-646.15,"Plan 1400",
N10=-553.85,"Plan 1200",
N10=-461.54,"Plan 1000"
)</f>
        <v>#N/A</v>
      </c>
      <c r="P10" s="8" t="e" cm="1">
        <f t="array" ref="P10">_xlfn.SWITCH($I10,"Plan 1600",15*12/26,"Plan 1400",10*12/26,"Plan 1200",5*12/26,"Plan 1000",1.5*12/26,"")</f>
        <v>#N/A</v>
      </c>
      <c r="Q10" s="8" t="e" cm="1">
        <f t="array" ref="Q10">_xlfn.SWITCH($I10,"Plan 1600",97*12/26,"Plan 1400",78*12/26,"Plan 1200",60*12/26,"Plan 1000",25*12/26,"")</f>
        <v>#N/A</v>
      </c>
      <c r="R10" s="8" t="e" cm="1">
        <f t="array" ref="R10">_xlfn.SWITCH($I10,"Plan 1600",25*12/26,"Plan 1400",20*12/26,"Plan 1200",15*12/26,"Plan 1000",2*12/26,"")</f>
        <v>#N/A</v>
      </c>
      <c r="S10" s="3"/>
    </row>
    <row r="11" spans="1:22" x14ac:dyDescent="0.25">
      <c r="A11" s="11" t="s">
        <v>31</v>
      </c>
      <c r="B11">
        <f>VLOOKUP(A11,'12.2'!A:B,2,FALSE)</f>
        <v>0</v>
      </c>
      <c r="C11" t="e" cm="1">
        <f t="array" ref="C11">_xlfn.IFS(
B11=-738.46,"Plan 1600",
B11=-646.15,"Plan 1400",
B11=-553.85,"Plan 1200",
B11=-461.54,"Plan 1000"
)</f>
        <v>#N/A</v>
      </c>
      <c r="D11" s="8" t="e" cm="1">
        <f t="array" ref="D11">_xlfn.SWITCH($C11,"Plan 1600",15*12/26,"Plan 1400",10*12/26,"Plan 1200",5*12/26,"Plan 1000",1.5*12/26,"")</f>
        <v>#N/A</v>
      </c>
      <c r="E11" s="8" t="e" cm="1">
        <f t="array" ref="E11">_xlfn.SWITCH($C11,"Plan 1600",97*12/26,"Plan 1400",78*12/26,"Plan 1200",60*12/26,"Plan 1000",25*12/26,"")</f>
        <v>#N/A</v>
      </c>
      <c r="F11" s="8" t="e" cm="1">
        <f t="array" ref="F11">_xlfn.SWITCH($C11,"Plan 1600",25*12/26,"Plan 1400",20*12/26,"Plan 1200",15*12/26,"Plan 1000",2*12/26,"")</f>
        <v>#N/A</v>
      </c>
      <c r="G11" s="3"/>
      <c r="H11">
        <f>VLOOKUP(A11,'12.16'!A:B,2,FALSE)</f>
        <v>0</v>
      </c>
      <c r="I11" t="e" cm="1">
        <f t="array" ref="I11">_xlfn.IFS(
H11=-738.46,"Plan 1600",
H11=-646.15,"Plan 1400",
H11=-553.85,"Plan 1200",
H11=-461.54,"Plan 1000"
)</f>
        <v>#N/A</v>
      </c>
      <c r="J11" s="8" t="e" cm="1">
        <f t="array" ref="J11">_xlfn.SWITCH($I11,"Plan 1600",15*12/26,"Plan 1400",10*12/26,"Plan 1200",5*12/26,"Plan 1000",1.5*12/26,"")</f>
        <v>#N/A</v>
      </c>
      <c r="K11" s="8" t="e" cm="1">
        <f t="array" ref="K11">_xlfn.SWITCH($I11,"Plan 1600",97*12/26,"Plan 1400",78*12/26,"Plan 1200",60*12/26,"Plan 1000",25*12/26,"")</f>
        <v>#N/A</v>
      </c>
      <c r="L11" s="8" t="e" cm="1">
        <f t="array" ref="L11">_xlfn.SWITCH($I11,"Plan 1600",25*12/26,"Plan 1400",20*12/26,"Plan 1200",15*12/26,"Plan 1000",2*12/26,"")</f>
        <v>#N/A</v>
      </c>
      <c r="M11" s="3"/>
      <c r="N11" t="e">
        <f>VLOOKUP(A11,'12.30'!G:H,2,FALSE)</f>
        <v>#N/A</v>
      </c>
      <c r="O11" t="e" cm="1">
        <f t="array" ref="O11">_xlfn.IFS(
N11=-738.46,"Plan 1600",
N11=-646.15,"Plan 1400",
N11=-553.85,"Plan 1200",
N11=-461.54,"Plan 1000"
)</f>
        <v>#N/A</v>
      </c>
      <c r="P11" s="8" t="e" cm="1">
        <f t="array" ref="P11">_xlfn.SWITCH($I11,"Plan 1600",15*12/26,"Plan 1400",10*12/26,"Plan 1200",5*12/26,"Plan 1000",1.5*12/26,"")</f>
        <v>#N/A</v>
      </c>
      <c r="Q11" s="8" t="e" cm="1">
        <f t="array" ref="Q11">_xlfn.SWITCH($I11,"Plan 1600",97*12/26,"Plan 1400",78*12/26,"Plan 1200",60*12/26,"Plan 1000",25*12/26,"")</f>
        <v>#N/A</v>
      </c>
      <c r="R11" s="8" t="e" cm="1">
        <f t="array" ref="R11">_xlfn.SWITCH($I11,"Plan 1600",25*12/26,"Plan 1400",20*12/26,"Plan 1200",15*12/26,"Plan 1000",2*12/26,"")</f>
        <v>#N/A</v>
      </c>
      <c r="S11" s="3"/>
    </row>
    <row r="12" spans="1:22" x14ac:dyDescent="0.25">
      <c r="A12" s="11" t="s">
        <v>32</v>
      </c>
      <c r="B12">
        <f>VLOOKUP(A12,'12.2'!A:B,2,FALSE)</f>
        <v>0</v>
      </c>
      <c r="C12" t="e" cm="1">
        <f t="array" ref="C12">_xlfn.IFS(
B12=-738.46,"Plan 1600",
B12=-646.15,"Plan 1400",
B12=-553.85,"Plan 1200",
B12=-461.54,"Plan 1000"
)</f>
        <v>#N/A</v>
      </c>
      <c r="D12" s="8" t="e" cm="1">
        <f t="array" ref="D12">_xlfn.SWITCH($C12,"Plan 1600",15*12/26,"Plan 1400",10*12/26,"Plan 1200",5*12/26,"Plan 1000",1.5*12/26,"")</f>
        <v>#N/A</v>
      </c>
      <c r="E12" s="8" t="e" cm="1">
        <f t="array" ref="E12">_xlfn.SWITCH($C12,"Plan 1600",97*12/26,"Plan 1400",78*12/26,"Plan 1200",60*12/26,"Plan 1000",25*12/26,"")</f>
        <v>#N/A</v>
      </c>
      <c r="F12" s="8" t="e" cm="1">
        <f t="array" ref="F12">_xlfn.SWITCH($C12,"Plan 1600",25*12/26,"Plan 1400",20*12/26,"Plan 1200",15*12/26,"Plan 1000",2*12/26,"")</f>
        <v>#N/A</v>
      </c>
      <c r="G12" s="3"/>
      <c r="H12">
        <f>VLOOKUP(A12,'12.16'!A:B,2,FALSE)</f>
        <v>0</v>
      </c>
      <c r="I12" t="e" cm="1">
        <f t="array" ref="I12">_xlfn.IFS(
H12=-738.46,"Plan 1600",
H12=-646.15,"Plan 1400",
H12=-553.85,"Plan 1200",
H12=-461.54,"Plan 1000"
)</f>
        <v>#N/A</v>
      </c>
      <c r="J12" s="8" t="e" cm="1">
        <f t="array" ref="J12">_xlfn.SWITCH($I12,"Plan 1600",15*12/26,"Plan 1400",10*12/26,"Plan 1200",5*12/26,"Plan 1000",1.5*12/26,"")</f>
        <v>#N/A</v>
      </c>
      <c r="K12" s="8" t="e" cm="1">
        <f t="array" ref="K12">_xlfn.SWITCH($I12,"Plan 1600",97*12/26,"Plan 1400",78*12/26,"Plan 1200",60*12/26,"Plan 1000",25*12/26,"")</f>
        <v>#N/A</v>
      </c>
      <c r="L12" s="8" t="e" cm="1">
        <f t="array" ref="L12">_xlfn.SWITCH($I12,"Plan 1600",25*12/26,"Plan 1400",20*12/26,"Plan 1200",15*12/26,"Plan 1000",2*12/26,"")</f>
        <v>#N/A</v>
      </c>
      <c r="M12" s="3"/>
      <c r="N12" t="e">
        <f>VLOOKUP(A12,'12.30'!G:H,2,FALSE)</f>
        <v>#N/A</v>
      </c>
      <c r="O12" t="e" cm="1">
        <f t="array" ref="O12">_xlfn.IFS(
N12=-738.46,"Plan 1600",
N12=-646.15,"Plan 1400",
N12=-553.85,"Plan 1200",
N12=-461.54,"Plan 1000"
)</f>
        <v>#N/A</v>
      </c>
      <c r="P12" s="8" t="e" cm="1">
        <f t="array" ref="P12">_xlfn.SWITCH($I12,"Plan 1600",15*12/26,"Plan 1400",10*12/26,"Plan 1200",5*12/26,"Plan 1000",1.5*12/26,"")</f>
        <v>#N/A</v>
      </c>
      <c r="Q12" s="8" t="e" cm="1">
        <f t="array" ref="Q12">_xlfn.SWITCH($I12,"Plan 1600",97*12/26,"Plan 1400",78*12/26,"Plan 1200",60*12/26,"Plan 1000",25*12/26,"")</f>
        <v>#N/A</v>
      </c>
      <c r="R12" s="8" t="e" cm="1">
        <f t="array" ref="R12">_xlfn.SWITCH($I12,"Plan 1600",25*12/26,"Plan 1400",20*12/26,"Plan 1200",15*12/26,"Plan 1000",2*12/26,"")</f>
        <v>#N/A</v>
      </c>
      <c r="S12" s="3"/>
    </row>
    <row r="13" spans="1:22" x14ac:dyDescent="0.25">
      <c r="A13" s="11" t="s">
        <v>33</v>
      </c>
      <c r="B13">
        <f>VLOOKUP(A13,'12.2'!A:B,2,FALSE)</f>
        <v>0</v>
      </c>
      <c r="C13" t="e" cm="1">
        <f t="array" ref="C13">_xlfn.IFS(
B13=-738.46,"Plan 1600",
B13=-646.15,"Plan 1400",
B13=-553.85,"Plan 1200",
B13=-461.54,"Plan 1000"
)</f>
        <v>#N/A</v>
      </c>
      <c r="D13" s="8" t="e" cm="1">
        <f t="array" ref="D13">_xlfn.SWITCH($C13,"Plan 1600",15*12/26,"Plan 1400",10*12/26,"Plan 1200",5*12/26,"Plan 1000",1.5*12/26,"")</f>
        <v>#N/A</v>
      </c>
      <c r="E13" s="8" t="e" cm="1">
        <f t="array" ref="E13">_xlfn.SWITCH($C13,"Plan 1600",97*12/26,"Plan 1400",78*12/26,"Plan 1200",60*12/26,"Plan 1000",25*12/26,"")</f>
        <v>#N/A</v>
      </c>
      <c r="F13" s="8" t="e" cm="1">
        <f t="array" ref="F13">_xlfn.SWITCH($C13,"Plan 1600",25*12/26,"Plan 1400",20*12/26,"Plan 1200",15*12/26,"Plan 1000",2*12/26,"")</f>
        <v>#N/A</v>
      </c>
      <c r="G13" s="3"/>
      <c r="H13">
        <f>VLOOKUP(A13,'12.16'!A:B,2,FALSE)</f>
        <v>-461.54</v>
      </c>
      <c r="I13" t="str" cm="1">
        <f t="array" ref="I13">_xlfn.IFS(
H13=-738.46,"Plan 1600",
H13=-646.15,"Plan 1400",
H13=-553.85,"Plan 1200",
H13=-461.54,"Plan 1000"
)</f>
        <v>Plan 1000</v>
      </c>
      <c r="J13" s="8" cm="1">
        <f t="array" ref="J13">_xlfn.SWITCH($I13,"Plan 1600",15*12/26,"Plan 1400",10*12/26,"Plan 1200",5*12/26,"Plan 1000",1.5*12/26,"")</f>
        <v>0.69230769230769229</v>
      </c>
      <c r="K13" s="8" cm="1">
        <f t="array" ref="K13">_xlfn.SWITCH($I13,"Plan 1600",97*12/26,"Plan 1400",78*12/26,"Plan 1200",60*12/26,"Plan 1000",25*12/26,"")</f>
        <v>11.538461538461538</v>
      </c>
      <c r="L13" s="8" cm="1">
        <f t="array" ref="L13">_xlfn.SWITCH($I13,"Plan 1600",25*12/26,"Plan 1400",20*12/26,"Plan 1200",15*12/26,"Plan 1000",2*12/26,"")</f>
        <v>0.92307692307692313</v>
      </c>
      <c r="M13" s="3"/>
      <c r="N13" t="e">
        <f>VLOOKUP(A13,'12.30'!G:H,2,FALSE)</f>
        <v>#N/A</v>
      </c>
      <c r="O13" t="e" cm="1">
        <f t="array" ref="O13">_xlfn.IFS(
N13=-738.46,"Plan 1600",
N13=-646.15,"Plan 1400",
N13=-553.85,"Plan 1200",
N13=-461.54,"Plan 1000"
)</f>
        <v>#N/A</v>
      </c>
      <c r="P13" s="8" cm="1">
        <f t="array" ref="P13">_xlfn.SWITCH($I13,"Plan 1600",15*12/26,"Plan 1400",10*12/26,"Plan 1200",5*12/26,"Plan 1000",1.5*12/26,"")</f>
        <v>0.69230769230769229</v>
      </c>
      <c r="Q13" s="8" cm="1">
        <f t="array" ref="Q13">_xlfn.SWITCH($I13,"Plan 1600",97*12/26,"Plan 1400",78*12/26,"Plan 1200",60*12/26,"Plan 1000",25*12/26,"")</f>
        <v>11.538461538461538</v>
      </c>
      <c r="R13" s="8" cm="1">
        <f t="array" ref="R13">_xlfn.SWITCH($I13,"Plan 1600",25*12/26,"Plan 1400",20*12/26,"Plan 1200",15*12/26,"Plan 1000",2*12/26,"")</f>
        <v>0.92307692307692313</v>
      </c>
      <c r="S13" s="3"/>
    </row>
    <row r="14" spans="1:22" x14ac:dyDescent="0.25">
      <c r="A14" s="11" t="s">
        <v>34</v>
      </c>
      <c r="B14">
        <f>VLOOKUP(A14,'12.2'!A:B,2,FALSE)</f>
        <v>0</v>
      </c>
      <c r="C14" t="e" cm="1">
        <f t="array" ref="C14">_xlfn.IFS(
B14=-738.46,"Plan 1600",
B14=-646.15,"Plan 1400",
B14=-553.85,"Plan 1200",
B14=-461.54,"Plan 1000"
)</f>
        <v>#N/A</v>
      </c>
      <c r="D14" s="8" t="e" cm="1">
        <f t="array" ref="D14">_xlfn.SWITCH($C14,"Plan 1600",15*12/26,"Plan 1400",10*12/26,"Plan 1200",5*12/26,"Plan 1000",1.5*12/26,"")</f>
        <v>#N/A</v>
      </c>
      <c r="E14" s="8" t="e" cm="1">
        <f t="array" ref="E14">_xlfn.SWITCH($C14,"Plan 1600",97*12/26,"Plan 1400",78*12/26,"Plan 1200",60*12/26,"Plan 1000",25*12/26,"")</f>
        <v>#N/A</v>
      </c>
      <c r="F14" s="8" t="e" cm="1">
        <f t="array" ref="F14">_xlfn.SWITCH($C14,"Plan 1600",25*12/26,"Plan 1400",20*12/26,"Plan 1200",15*12/26,"Plan 1000",2*12/26,"")</f>
        <v>#N/A</v>
      </c>
      <c r="G14" s="3"/>
      <c r="H14">
        <f>VLOOKUP(A14,'12.16'!A:B,2,FALSE)</f>
        <v>0</v>
      </c>
      <c r="I14" t="e" cm="1">
        <f t="array" ref="I14">_xlfn.IFS(
H14=-738.46,"Plan 1600",
H14=-646.15,"Plan 1400",
H14=-553.85,"Plan 1200",
H14=-461.54,"Plan 1000"
)</f>
        <v>#N/A</v>
      </c>
      <c r="J14" s="8" t="e" cm="1">
        <f t="array" ref="J14">_xlfn.SWITCH($I14,"Plan 1600",15*12/26,"Plan 1400",10*12/26,"Plan 1200",5*12/26,"Plan 1000",1.5*12/26,"")</f>
        <v>#N/A</v>
      </c>
      <c r="K14" s="8" t="e" cm="1">
        <f t="array" ref="K14">_xlfn.SWITCH($I14,"Plan 1600",97*12/26,"Plan 1400",78*12/26,"Plan 1200",60*12/26,"Plan 1000",25*12/26,"")</f>
        <v>#N/A</v>
      </c>
      <c r="L14" s="8" t="e" cm="1">
        <f t="array" ref="L14">_xlfn.SWITCH($I14,"Plan 1600",25*12/26,"Plan 1400",20*12/26,"Plan 1200",15*12/26,"Plan 1000",2*12/26,"")</f>
        <v>#N/A</v>
      </c>
      <c r="M14" s="3"/>
      <c r="N14" t="e">
        <f>VLOOKUP(A14,'12.30'!G:H,2,FALSE)</f>
        <v>#N/A</v>
      </c>
      <c r="O14" t="e" cm="1">
        <f t="array" ref="O14">_xlfn.IFS(
N14=-738.46,"Plan 1600",
N14=-646.15,"Plan 1400",
N14=-553.85,"Plan 1200",
N14=-461.54,"Plan 1000"
)</f>
        <v>#N/A</v>
      </c>
      <c r="P14" s="8" t="e" cm="1">
        <f t="array" ref="P14">_xlfn.SWITCH($I14,"Plan 1600",15*12/26,"Plan 1400",10*12/26,"Plan 1200",5*12/26,"Plan 1000",1.5*12/26,"")</f>
        <v>#N/A</v>
      </c>
      <c r="Q14" s="8" t="e" cm="1">
        <f t="array" ref="Q14">_xlfn.SWITCH($I14,"Plan 1600",97*12/26,"Plan 1400",78*12/26,"Plan 1200",60*12/26,"Plan 1000",25*12/26,"")</f>
        <v>#N/A</v>
      </c>
      <c r="R14" s="8" t="e" cm="1">
        <f t="array" ref="R14">_xlfn.SWITCH($I14,"Plan 1600",25*12/26,"Plan 1400",20*12/26,"Plan 1200",15*12/26,"Plan 1000",2*12/26,"")</f>
        <v>#N/A</v>
      </c>
      <c r="S14" s="3"/>
    </row>
    <row r="15" spans="1:22" x14ac:dyDescent="0.25">
      <c r="A15" s="11" t="s">
        <v>38</v>
      </c>
      <c r="B15" t="e">
        <f>VLOOKUP(A15,'12.2'!A:B,2,FALSE)</f>
        <v>#N/A</v>
      </c>
      <c r="C15" t="e" cm="1">
        <f t="array" ref="C15">_xlfn.IFS(
B15=-738.46,"Plan 1600",
B15=-646.15,"Plan 1400",
B15=-553.85,"Plan 1200",
B15=-461.54,"Plan 1000"
)</f>
        <v>#N/A</v>
      </c>
      <c r="D15" s="8" t="e" cm="1">
        <f t="array" ref="D15">_xlfn.SWITCH($C15,"Plan 1600",15*12/26,"Plan 1400",10*12/26,"Plan 1200",5*12/26,"Plan 1000",1.5*12/26,"")</f>
        <v>#N/A</v>
      </c>
      <c r="E15" s="8" t="e" cm="1">
        <f t="array" ref="E15">_xlfn.SWITCH($C15,"Plan 1600",97*12/26,"Plan 1400",78*12/26,"Plan 1200",60*12/26,"Plan 1000",25*12/26,"")</f>
        <v>#N/A</v>
      </c>
      <c r="F15" s="8" t="e" cm="1">
        <f t="array" ref="F15">_xlfn.SWITCH($C15,"Plan 1600",25*12/26,"Plan 1400",20*12/26,"Plan 1200",15*12/26,"Plan 1000",2*12/26,"")</f>
        <v>#N/A</v>
      </c>
      <c r="G15" s="3"/>
      <c r="H15" t="e">
        <f>VLOOKUP(A15,'12.16'!A:B,2,FALSE)</f>
        <v>#N/A</v>
      </c>
      <c r="I15" t="e" cm="1">
        <f t="array" ref="I15">_xlfn.IFS(
H15=-738.46,"Plan 1600",
H15=-646.15,"Plan 1400",
H15=-553.85,"Plan 1200",
H15=-461.54,"Plan 1000"
)</f>
        <v>#N/A</v>
      </c>
      <c r="J15" s="8" t="e" cm="1">
        <f t="array" ref="J15">_xlfn.SWITCH($I15,"Plan 1600",15*12/26,"Plan 1400",10*12/26,"Plan 1200",5*12/26,"Plan 1000",1.5*12/26,"")</f>
        <v>#N/A</v>
      </c>
      <c r="K15" s="8" t="e" cm="1">
        <f t="array" ref="K15">_xlfn.SWITCH($I15,"Plan 1600",97*12/26,"Plan 1400",78*12/26,"Plan 1200",60*12/26,"Plan 1000",25*12/26,"")</f>
        <v>#N/A</v>
      </c>
      <c r="L15" s="8" t="e" cm="1">
        <f t="array" ref="L15">_xlfn.SWITCH($I15,"Plan 1600",25*12/26,"Plan 1400",20*12/26,"Plan 1200",15*12/26,"Plan 1000",2*12/26,"")</f>
        <v>#N/A</v>
      </c>
      <c r="M15" s="3"/>
      <c r="N15" t="e">
        <f>VLOOKUP(A15,'12.30'!G:H,2,FALSE)</f>
        <v>#N/A</v>
      </c>
      <c r="O15" t="e" cm="1">
        <f t="array" ref="O15">_xlfn.IFS(
N15=-738.46,"Plan 1600",
N15=-646.15,"Plan 1400",
N15=-553.85,"Plan 1200",
N15=-461.54,"Plan 1000"
)</f>
        <v>#N/A</v>
      </c>
      <c r="P15" s="8" t="e" cm="1">
        <f t="array" ref="P15">_xlfn.SWITCH($I15,"Plan 1600",15*12/26,"Plan 1400",10*12/26,"Plan 1200",5*12/26,"Plan 1000",1.5*12/26,"")</f>
        <v>#N/A</v>
      </c>
      <c r="Q15" s="8" t="e" cm="1">
        <f t="array" ref="Q15">_xlfn.SWITCH($I15,"Plan 1600",97*12/26,"Plan 1400",78*12/26,"Plan 1200",60*12/26,"Plan 1000",25*12/26,"")</f>
        <v>#N/A</v>
      </c>
      <c r="R15" s="8" t="e" cm="1">
        <f t="array" ref="R15">_xlfn.SWITCH($I15,"Plan 1600",25*12/26,"Plan 1400",20*12/26,"Plan 1200",15*12/26,"Plan 1000",2*12/26,"")</f>
        <v>#N/A</v>
      </c>
      <c r="S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4C8-5BC6-44AE-BD21-F888DF63BB2C}">
  <dimension ref="A1:B30"/>
  <sheetViews>
    <sheetView workbookViewId="0">
      <selection activeCell="E19" sqref="E19"/>
    </sheetView>
  </sheetViews>
  <sheetFormatPr defaultRowHeight="15" x14ac:dyDescent="0.25"/>
  <cols>
    <col min="1" max="2" width="17.140625" customWidth="1"/>
  </cols>
  <sheetData>
    <row r="1" spans="1:2" x14ac:dyDescent="0.25">
      <c r="A1" s="10" t="s">
        <v>6</v>
      </c>
      <c r="B1" s="10" t="s">
        <v>35</v>
      </c>
    </row>
    <row r="2" spans="1:2" x14ac:dyDescent="0.25">
      <c r="A2" s="11" t="s">
        <v>7</v>
      </c>
    </row>
    <row r="3" spans="1:2" x14ac:dyDescent="0.25">
      <c r="A3" s="11" t="s">
        <v>8</v>
      </c>
      <c r="B3" s="12">
        <v>-461.54</v>
      </c>
    </row>
    <row r="4" spans="1:2" x14ac:dyDescent="0.25">
      <c r="A4" s="11" t="s">
        <v>9</v>
      </c>
      <c r="B4" s="12">
        <v>-461.54</v>
      </c>
    </row>
    <row r="5" spans="1:2" x14ac:dyDescent="0.25">
      <c r="A5" s="11" t="s">
        <v>10</v>
      </c>
      <c r="B5" s="12">
        <v>-461.54</v>
      </c>
    </row>
    <row r="6" spans="1:2" x14ac:dyDescent="0.25">
      <c r="A6" s="11" t="s">
        <v>11</v>
      </c>
    </row>
    <row r="7" spans="1:2" x14ac:dyDescent="0.25">
      <c r="A7" s="11" t="s">
        <v>12</v>
      </c>
    </row>
    <row r="8" spans="1:2" x14ac:dyDescent="0.25">
      <c r="A8" s="11" t="s">
        <v>13</v>
      </c>
    </row>
    <row r="9" spans="1:2" x14ac:dyDescent="0.25">
      <c r="A9" s="11" t="s">
        <v>14</v>
      </c>
    </row>
    <row r="10" spans="1:2" x14ac:dyDescent="0.25">
      <c r="A10" s="11" t="s">
        <v>15</v>
      </c>
      <c r="B10" s="12">
        <v>-553.85</v>
      </c>
    </row>
    <row r="11" spans="1:2" x14ac:dyDescent="0.25">
      <c r="A11" s="11" t="s">
        <v>16</v>
      </c>
    </row>
    <row r="12" spans="1:2" x14ac:dyDescent="0.25">
      <c r="A12" s="11" t="s">
        <v>17</v>
      </c>
      <c r="B12" s="12">
        <v>-738.46</v>
      </c>
    </row>
    <row r="13" spans="1:2" x14ac:dyDescent="0.25">
      <c r="A13" s="11" t="s">
        <v>18</v>
      </c>
    </row>
    <row r="14" spans="1:2" x14ac:dyDescent="0.25">
      <c r="A14" s="11" t="s">
        <v>19</v>
      </c>
      <c r="B14" s="12">
        <v>-461.54</v>
      </c>
    </row>
    <row r="15" spans="1:2" x14ac:dyDescent="0.25">
      <c r="A15" s="11" t="s">
        <v>20</v>
      </c>
    </row>
    <row r="16" spans="1:2" x14ac:dyDescent="0.25">
      <c r="A16" s="11" t="s">
        <v>21</v>
      </c>
      <c r="B16" s="12">
        <v>-738.46</v>
      </c>
    </row>
    <row r="17" spans="1:2" x14ac:dyDescent="0.25">
      <c r="A17" s="11" t="s">
        <v>22</v>
      </c>
      <c r="B17" s="12">
        <v>-646.15</v>
      </c>
    </row>
    <row r="18" spans="1:2" x14ac:dyDescent="0.25">
      <c r="A18" s="11" t="s">
        <v>23</v>
      </c>
      <c r="B18" s="12">
        <v>-461.54</v>
      </c>
    </row>
    <row r="19" spans="1:2" x14ac:dyDescent="0.25">
      <c r="A19" s="11" t="s">
        <v>24</v>
      </c>
      <c r="B19" s="12">
        <v>-461.54</v>
      </c>
    </row>
    <row r="20" spans="1:2" x14ac:dyDescent="0.25">
      <c r="A20" s="11" t="s">
        <v>25</v>
      </c>
      <c r="B20" s="12">
        <v>-461.54</v>
      </c>
    </row>
    <row r="21" spans="1:2" x14ac:dyDescent="0.25">
      <c r="A21" s="11" t="s">
        <v>26</v>
      </c>
    </row>
    <row r="22" spans="1:2" x14ac:dyDescent="0.25">
      <c r="A22" s="11" t="s">
        <v>27</v>
      </c>
      <c r="B22" s="12">
        <v>-461.54</v>
      </c>
    </row>
    <row r="23" spans="1:2" x14ac:dyDescent="0.25">
      <c r="A23" s="11" t="s">
        <v>28</v>
      </c>
      <c r="B23" s="12">
        <v>-461.54</v>
      </c>
    </row>
    <row r="24" spans="1:2" x14ac:dyDescent="0.25">
      <c r="A24" s="11" t="s">
        <v>29</v>
      </c>
      <c r="B24" s="12">
        <v>-461.54</v>
      </c>
    </row>
    <row r="25" spans="1:2" x14ac:dyDescent="0.25">
      <c r="A25" s="11" t="s">
        <v>30</v>
      </c>
      <c r="B25" s="12">
        <v>-461.54</v>
      </c>
    </row>
    <row r="26" spans="1:2" x14ac:dyDescent="0.25">
      <c r="A26" s="11" t="s">
        <v>31</v>
      </c>
    </row>
    <row r="27" spans="1:2" x14ac:dyDescent="0.25">
      <c r="A27" s="11" t="s">
        <v>32</v>
      </c>
    </row>
    <row r="28" spans="1:2" x14ac:dyDescent="0.25">
      <c r="A28" s="11" t="s">
        <v>33</v>
      </c>
    </row>
    <row r="29" spans="1:2" x14ac:dyDescent="0.25">
      <c r="A29" s="11" t="s">
        <v>34</v>
      </c>
    </row>
    <row r="30" spans="1:2" x14ac:dyDescent="0.25">
      <c r="B30" s="1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2AEA-59C3-4C73-A768-8A57348BFCFD}">
  <dimension ref="A1:B30"/>
  <sheetViews>
    <sheetView workbookViewId="0">
      <selection activeCell="A2" sqref="A2:A29"/>
    </sheetView>
  </sheetViews>
  <sheetFormatPr defaultRowHeight="15" x14ac:dyDescent="0.25"/>
  <cols>
    <col min="1" max="2" width="17.140625" customWidth="1"/>
  </cols>
  <sheetData>
    <row r="1" spans="1:2" x14ac:dyDescent="0.25">
      <c r="A1" s="10" t="s">
        <v>6</v>
      </c>
      <c r="B1" s="10" t="s">
        <v>35</v>
      </c>
    </row>
    <row r="2" spans="1:2" x14ac:dyDescent="0.25">
      <c r="A2" s="11" t="s">
        <v>7</v>
      </c>
    </row>
    <row r="3" spans="1:2" x14ac:dyDescent="0.25">
      <c r="A3" s="11" t="s">
        <v>8</v>
      </c>
      <c r="B3" s="12">
        <v>-461.54</v>
      </c>
    </row>
    <row r="4" spans="1:2" x14ac:dyDescent="0.25">
      <c r="A4" s="11" t="s">
        <v>9</v>
      </c>
      <c r="B4" s="12">
        <v>-553.85</v>
      </c>
    </row>
    <row r="5" spans="1:2" x14ac:dyDescent="0.25">
      <c r="A5" s="11" t="s">
        <v>10</v>
      </c>
      <c r="B5" s="12">
        <v>-461.54</v>
      </c>
    </row>
    <row r="6" spans="1:2" x14ac:dyDescent="0.25">
      <c r="A6" s="11" t="s">
        <v>11</v>
      </c>
    </row>
    <row r="7" spans="1:2" x14ac:dyDescent="0.25">
      <c r="A7" s="11" t="s">
        <v>12</v>
      </c>
      <c r="B7" s="12">
        <v>-461.54</v>
      </c>
    </row>
    <row r="8" spans="1:2" x14ac:dyDescent="0.25">
      <c r="A8" s="11" t="s">
        <v>13</v>
      </c>
    </row>
    <row r="9" spans="1:2" x14ac:dyDescent="0.25">
      <c r="A9" s="11" t="s">
        <v>14</v>
      </c>
    </row>
    <row r="10" spans="1:2" x14ac:dyDescent="0.25">
      <c r="A10" s="11" t="s">
        <v>15</v>
      </c>
      <c r="B10" s="12">
        <v>-461.54</v>
      </c>
    </row>
    <row r="11" spans="1:2" x14ac:dyDescent="0.25">
      <c r="A11" s="11" t="s">
        <v>16</v>
      </c>
    </row>
    <row r="12" spans="1:2" x14ac:dyDescent="0.25">
      <c r="A12" s="11" t="s">
        <v>17</v>
      </c>
      <c r="B12" s="12">
        <v>-738.46</v>
      </c>
    </row>
    <row r="13" spans="1:2" x14ac:dyDescent="0.25">
      <c r="A13" s="11" t="s">
        <v>18</v>
      </c>
    </row>
    <row r="14" spans="1:2" x14ac:dyDescent="0.25">
      <c r="A14" s="11" t="s">
        <v>19</v>
      </c>
      <c r="B14" s="12">
        <v>-461.54</v>
      </c>
    </row>
    <row r="15" spans="1:2" x14ac:dyDescent="0.25">
      <c r="A15" s="11" t="s">
        <v>20</v>
      </c>
    </row>
    <row r="16" spans="1:2" x14ac:dyDescent="0.25">
      <c r="A16" s="11" t="s">
        <v>21</v>
      </c>
      <c r="B16" s="12">
        <v>-738.46</v>
      </c>
    </row>
    <row r="17" spans="1:2" x14ac:dyDescent="0.25">
      <c r="A17" s="11" t="s">
        <v>22</v>
      </c>
      <c r="B17" s="12">
        <v>-553.85</v>
      </c>
    </row>
    <row r="18" spans="1:2" x14ac:dyDescent="0.25">
      <c r="A18" s="11" t="s">
        <v>23</v>
      </c>
      <c r="B18" s="12">
        <v>-461.54</v>
      </c>
    </row>
    <row r="19" spans="1:2" x14ac:dyDescent="0.25">
      <c r="A19" s="11" t="s">
        <v>24</v>
      </c>
      <c r="B19" s="12">
        <v>-461.54</v>
      </c>
    </row>
    <row r="20" spans="1:2" x14ac:dyDescent="0.25">
      <c r="A20" s="11" t="s">
        <v>25</v>
      </c>
      <c r="B20" s="12">
        <v>-461.54</v>
      </c>
    </row>
    <row r="21" spans="1:2" x14ac:dyDescent="0.25">
      <c r="A21" s="11" t="s">
        <v>26</v>
      </c>
    </row>
    <row r="22" spans="1:2" x14ac:dyDescent="0.25">
      <c r="A22" s="11" t="s">
        <v>27</v>
      </c>
      <c r="B22" s="12">
        <v>-461.54</v>
      </c>
    </row>
    <row r="23" spans="1:2" x14ac:dyDescent="0.25">
      <c r="A23" s="11" t="s">
        <v>28</v>
      </c>
      <c r="B23" s="12">
        <v>-646.15</v>
      </c>
    </row>
    <row r="24" spans="1:2" x14ac:dyDescent="0.25">
      <c r="A24" s="11" t="s">
        <v>29</v>
      </c>
      <c r="B24" s="12">
        <v>-461.54</v>
      </c>
    </row>
    <row r="25" spans="1:2" x14ac:dyDescent="0.25">
      <c r="A25" s="11" t="s">
        <v>30</v>
      </c>
      <c r="B25" s="12">
        <v>-553.85</v>
      </c>
    </row>
    <row r="26" spans="1:2" x14ac:dyDescent="0.25">
      <c r="A26" s="11" t="s">
        <v>31</v>
      </c>
    </row>
    <row r="27" spans="1:2" x14ac:dyDescent="0.25">
      <c r="A27" s="11" t="s">
        <v>32</v>
      </c>
    </row>
    <row r="28" spans="1:2" x14ac:dyDescent="0.25">
      <c r="A28" s="11" t="s">
        <v>33</v>
      </c>
      <c r="B28" s="12">
        <v>-461.54</v>
      </c>
    </row>
    <row r="29" spans="1:2" x14ac:dyDescent="0.25">
      <c r="A29" s="11" t="s">
        <v>34</v>
      </c>
    </row>
    <row r="30" spans="1:2" x14ac:dyDescent="0.25">
      <c r="B30" s="1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BC68-B5E4-4024-8483-17A8B91F8C4B}">
  <dimension ref="A1:B31"/>
  <sheetViews>
    <sheetView workbookViewId="0">
      <selection activeCell="A2" sqref="A2:A30"/>
    </sheetView>
  </sheetViews>
  <sheetFormatPr defaultRowHeight="15" x14ac:dyDescent="0.25"/>
  <cols>
    <col min="1" max="2" width="17.140625" customWidth="1"/>
  </cols>
  <sheetData>
    <row r="1" spans="1:2" x14ac:dyDescent="0.25">
      <c r="A1" s="10" t="s">
        <v>6</v>
      </c>
      <c r="B1" s="10" t="s">
        <v>35</v>
      </c>
    </row>
    <row r="2" spans="1:2" x14ac:dyDescent="0.25">
      <c r="A2" s="11" t="s">
        <v>7</v>
      </c>
    </row>
    <row r="3" spans="1:2" x14ac:dyDescent="0.25">
      <c r="A3" s="11" t="s">
        <v>8</v>
      </c>
      <c r="B3" s="12">
        <v>-461.54</v>
      </c>
    </row>
    <row r="4" spans="1:2" x14ac:dyDescent="0.25">
      <c r="A4" s="11" t="s">
        <v>9</v>
      </c>
      <c r="B4" s="12">
        <v>-553.85</v>
      </c>
    </row>
    <row r="5" spans="1:2" x14ac:dyDescent="0.25">
      <c r="A5" s="11" t="s">
        <v>10</v>
      </c>
      <c r="B5" s="12">
        <v>-461.54</v>
      </c>
    </row>
    <row r="6" spans="1:2" x14ac:dyDescent="0.25">
      <c r="A6" s="11" t="s">
        <v>11</v>
      </c>
    </row>
    <row r="7" spans="1:2" x14ac:dyDescent="0.25">
      <c r="A7" s="11" t="s">
        <v>12</v>
      </c>
      <c r="B7" s="12">
        <v>-461.54</v>
      </c>
    </row>
    <row r="8" spans="1:2" x14ac:dyDescent="0.25">
      <c r="A8" s="11" t="s">
        <v>13</v>
      </c>
    </row>
    <row r="9" spans="1:2" x14ac:dyDescent="0.25">
      <c r="A9" s="11" t="s">
        <v>14</v>
      </c>
    </row>
    <row r="10" spans="1:2" x14ac:dyDescent="0.25">
      <c r="A10" s="11" t="s">
        <v>15</v>
      </c>
      <c r="B10" s="12">
        <v>-646.15</v>
      </c>
    </row>
    <row r="11" spans="1:2" x14ac:dyDescent="0.25">
      <c r="A11" s="11" t="s">
        <v>16</v>
      </c>
    </row>
    <row r="12" spans="1:2" x14ac:dyDescent="0.25">
      <c r="A12" s="11" t="s">
        <v>17</v>
      </c>
      <c r="B12" s="12">
        <v>-738.46</v>
      </c>
    </row>
    <row r="13" spans="1:2" x14ac:dyDescent="0.25">
      <c r="A13" s="11" t="s">
        <v>18</v>
      </c>
    </row>
    <row r="14" spans="1:2" x14ac:dyDescent="0.25">
      <c r="A14" s="11" t="s">
        <v>19</v>
      </c>
      <c r="B14" s="12">
        <v>-461.54</v>
      </c>
    </row>
    <row r="15" spans="1:2" x14ac:dyDescent="0.25">
      <c r="A15" s="11" t="s">
        <v>20</v>
      </c>
    </row>
    <row r="16" spans="1:2" x14ac:dyDescent="0.25">
      <c r="A16" s="11" t="s">
        <v>21</v>
      </c>
      <c r="B16" s="12">
        <v>-553.85</v>
      </c>
    </row>
    <row r="17" spans="1:2" x14ac:dyDescent="0.25">
      <c r="A17" s="11" t="s">
        <v>22</v>
      </c>
      <c r="B17" s="12">
        <v>-553.85</v>
      </c>
    </row>
    <row r="18" spans="1:2" x14ac:dyDescent="0.25">
      <c r="A18" s="11" t="s">
        <v>23</v>
      </c>
      <c r="B18" s="12">
        <v>-461.54</v>
      </c>
    </row>
    <row r="19" spans="1:2" x14ac:dyDescent="0.25">
      <c r="A19" s="11" t="s">
        <v>24</v>
      </c>
      <c r="B19" s="12">
        <v>-461.54</v>
      </c>
    </row>
    <row r="20" spans="1:2" x14ac:dyDescent="0.25">
      <c r="A20" s="11" t="s">
        <v>25</v>
      </c>
      <c r="B20" s="12">
        <v>-461.54</v>
      </c>
    </row>
    <row r="21" spans="1:2" x14ac:dyDescent="0.25">
      <c r="A21" s="11" t="s">
        <v>26</v>
      </c>
    </row>
    <row r="22" spans="1:2" x14ac:dyDescent="0.25">
      <c r="A22" s="11" t="s">
        <v>27</v>
      </c>
      <c r="B22" s="12">
        <v>-461.54</v>
      </c>
    </row>
    <row r="23" spans="1:2" x14ac:dyDescent="0.25">
      <c r="A23" s="11" t="s">
        <v>28</v>
      </c>
      <c r="B23" s="12">
        <v>-646.15</v>
      </c>
    </row>
    <row r="24" spans="1:2" x14ac:dyDescent="0.25">
      <c r="A24" s="11" t="s">
        <v>29</v>
      </c>
      <c r="B24" s="12">
        <v>-461.54</v>
      </c>
    </row>
    <row r="25" spans="1:2" x14ac:dyDescent="0.25">
      <c r="A25" s="11" t="s">
        <v>30</v>
      </c>
      <c r="B25" s="12">
        <v>-461.54</v>
      </c>
    </row>
    <row r="26" spans="1:2" x14ac:dyDescent="0.25">
      <c r="A26" s="11" t="s">
        <v>31</v>
      </c>
    </row>
    <row r="27" spans="1:2" x14ac:dyDescent="0.25">
      <c r="A27" s="11" t="s">
        <v>32</v>
      </c>
    </row>
    <row r="28" spans="1:2" x14ac:dyDescent="0.25">
      <c r="A28" s="11" t="s">
        <v>33</v>
      </c>
      <c r="B28" s="12">
        <v>-461.54</v>
      </c>
    </row>
    <row r="29" spans="1:2" x14ac:dyDescent="0.25">
      <c r="A29" s="11" t="s">
        <v>34</v>
      </c>
    </row>
    <row r="30" spans="1:2" x14ac:dyDescent="0.25">
      <c r="A30" s="11" t="s">
        <v>38</v>
      </c>
    </row>
    <row r="31" spans="1:2" x14ac:dyDescent="0.25">
      <c r="B31" s="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Commissions</vt:lpstr>
      <vt:lpstr>Unpaid</vt:lpstr>
      <vt:lpstr>12.2</vt:lpstr>
      <vt:lpstr>12.16</vt:lpstr>
      <vt:lpstr>12.30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Gelardi</dc:creator>
  <cp:lastModifiedBy>Vincent Gelardi</cp:lastModifiedBy>
  <dcterms:created xsi:type="dcterms:W3CDTF">2025-12-29T19:50:09Z</dcterms:created>
  <dcterms:modified xsi:type="dcterms:W3CDTF">2026-01-16T13:49:53Z</dcterms:modified>
</cp:coreProperties>
</file>